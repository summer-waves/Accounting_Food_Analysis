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co\Downloads\"/>
    </mc:Choice>
  </mc:AlternateContent>
  <xr:revisionPtr revIDLastSave="0" documentId="13_ncr:1_{C31461B5-2892-4998-BB03-E3CE51234473}" xr6:coauthVersionLast="47" xr6:coauthVersionMax="47" xr10:uidLastSave="{00000000-0000-0000-0000-000000000000}"/>
  <bookViews>
    <workbookView xWindow="2325" yWindow="2880" windowWidth="21600" windowHeight="9915" tabRatio="500" firstSheet="6" activeTab="8" xr2:uid="{00000000-000D-0000-FFFF-FFFF00000000}"/>
  </bookViews>
  <sheets>
    <sheet name="ReadMe" sheetId="1" r:id="rId1"/>
    <sheet name="Chart_of_Accounts" sheetId="2" r:id="rId2"/>
    <sheet name="Restaurants" sheetId="3" r:id="rId3"/>
    <sheet name="Vendors" sheetId="4" r:id="rId4"/>
    <sheet name="Pivot Revenue" sheetId="12" r:id="rId5"/>
    <sheet name="Pivot Food Cost" sheetId="13" r:id="rId6"/>
    <sheet name="Pivot Food Cost Pct" sheetId="14" r:id="rId7"/>
    <sheet name="Transactions" sheetId="5" r:id="rId8"/>
    <sheet name="General_Ledger" sheetId="6" r:id="rId9"/>
    <sheet name="Trial_Balance" sheetId="7" r:id="rId10"/>
    <sheet name="Income_Statement" sheetId="8" r:id="rId11"/>
    <sheet name="Budget" sheetId="9" r:id="rId12"/>
    <sheet name="Variance_Analysis" sheetId="10" r:id="rId13"/>
    <sheet name="Restaurant_Drilldown" sheetId="11" r:id="rId14"/>
  </sheets>
  <calcPr calcId="191029" iterateDelta="1E-4"/>
  <pivotCaches>
    <pivotCache cacheId="9" r:id="rId15"/>
  </pivotCaches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8" i="8" l="1"/>
  <c r="C18" i="8"/>
  <c r="B18" i="8"/>
  <c r="B17" i="8"/>
  <c r="B16" i="8"/>
  <c r="B9" i="8"/>
  <c r="B6" i="8"/>
  <c r="D6" i="6"/>
  <c r="E9" i="6"/>
  <c r="D18" i="6"/>
  <c r="F2" i="6"/>
  <c r="C16" i="9"/>
  <c r="B16" i="9"/>
  <c r="E39" i="10"/>
  <c r="D9" i="11"/>
  <c r="E9" i="11" s="1"/>
  <c r="C9" i="11"/>
  <c r="B9" i="11"/>
  <c r="D8" i="11"/>
  <c r="E8" i="11" s="1"/>
  <c r="C8" i="11"/>
  <c r="B8" i="11"/>
  <c r="D7" i="11"/>
  <c r="E7" i="11" s="1"/>
  <c r="C7" i="11"/>
  <c r="B7" i="11"/>
  <c r="D6" i="11"/>
  <c r="E6" i="11" s="1"/>
  <c r="C6" i="11"/>
  <c r="B6" i="11"/>
  <c r="D5" i="11"/>
  <c r="E5" i="11" s="1"/>
  <c r="C5" i="11"/>
  <c r="B5" i="11"/>
  <c r="D36" i="10"/>
  <c r="D35" i="10"/>
  <c r="D34" i="10"/>
  <c r="C34" i="10"/>
  <c r="E34" i="10" s="1"/>
  <c r="D33" i="10"/>
  <c r="C33" i="10"/>
  <c r="E33" i="10" s="1"/>
  <c r="D32" i="10"/>
  <c r="D31" i="10"/>
  <c r="D30" i="10"/>
  <c r="D29" i="10"/>
  <c r="C29" i="10"/>
  <c r="E29" i="10" s="1"/>
  <c r="D28" i="10"/>
  <c r="D27" i="10"/>
  <c r="D26" i="10"/>
  <c r="D25" i="10"/>
  <c r="C25" i="10"/>
  <c r="E25" i="10" s="1"/>
  <c r="D24" i="10"/>
  <c r="D23" i="10"/>
  <c r="D22" i="10"/>
  <c r="D21" i="10"/>
  <c r="C21" i="10"/>
  <c r="E21" i="10" s="1"/>
  <c r="D20" i="10"/>
  <c r="D19" i="10"/>
  <c r="D18" i="10"/>
  <c r="D17" i="10"/>
  <c r="D16" i="10"/>
  <c r="D15" i="10"/>
  <c r="D14" i="10"/>
  <c r="D13" i="10"/>
  <c r="C13" i="10"/>
  <c r="E13" i="10" s="1"/>
  <c r="D12" i="10"/>
  <c r="D9" i="10"/>
  <c r="D8" i="10"/>
  <c r="D7" i="10"/>
  <c r="D6" i="10"/>
  <c r="D5" i="10"/>
  <c r="D4" i="10"/>
  <c r="D16" i="9"/>
  <c r="D9" i="9"/>
  <c r="D17" i="9" s="1"/>
  <c r="D39" i="10" s="1"/>
  <c r="D6" i="9"/>
  <c r="C6" i="9"/>
  <c r="C9" i="9" s="1"/>
  <c r="C17" i="9" s="1"/>
  <c r="D38" i="10" s="1"/>
  <c r="B6" i="9"/>
  <c r="D10" i="10" s="1"/>
  <c r="D15" i="8"/>
  <c r="C36" i="10" s="1"/>
  <c r="E36" i="10" s="1"/>
  <c r="C15" i="8"/>
  <c r="C35" i="10" s="1"/>
  <c r="E35" i="10" s="1"/>
  <c r="B15" i="8"/>
  <c r="D14" i="8"/>
  <c r="C14" i="8"/>
  <c r="C32" i="10" s="1"/>
  <c r="E32" i="10" s="1"/>
  <c r="B14" i="8"/>
  <c r="C31" i="10" s="1"/>
  <c r="E31" i="10" s="1"/>
  <c r="D13" i="8"/>
  <c r="C30" i="10" s="1"/>
  <c r="E30" i="10" s="1"/>
  <c r="C13" i="8"/>
  <c r="B13" i="8"/>
  <c r="C28" i="10" s="1"/>
  <c r="E28" i="10" s="1"/>
  <c r="D12" i="8"/>
  <c r="D16" i="8" s="1"/>
  <c r="C12" i="8"/>
  <c r="C26" i="10" s="1"/>
  <c r="E26" i="10" s="1"/>
  <c r="B12" i="8"/>
  <c r="D11" i="8"/>
  <c r="C24" i="10" s="1"/>
  <c r="E24" i="10" s="1"/>
  <c r="C11" i="8"/>
  <c r="C23" i="10" s="1"/>
  <c r="E23" i="10" s="1"/>
  <c r="B11" i="8"/>
  <c r="C22" i="10" s="1"/>
  <c r="E22" i="10" s="1"/>
  <c r="D10" i="8"/>
  <c r="C10" i="8"/>
  <c r="C20" i="10" s="1"/>
  <c r="E20" i="10" s="1"/>
  <c r="B10" i="8"/>
  <c r="C19" i="10" s="1"/>
  <c r="E19" i="10" s="1"/>
  <c r="D8" i="8"/>
  <c r="C18" i="10" s="1"/>
  <c r="E18" i="10" s="1"/>
  <c r="C8" i="8"/>
  <c r="C17" i="10" s="1"/>
  <c r="E17" i="10" s="1"/>
  <c r="B8" i="8"/>
  <c r="C16" i="10" s="1"/>
  <c r="E16" i="10" s="1"/>
  <c r="D7" i="8"/>
  <c r="C15" i="10" s="1"/>
  <c r="E15" i="10" s="1"/>
  <c r="C7" i="8"/>
  <c r="C14" i="10" s="1"/>
  <c r="E14" i="10" s="1"/>
  <c r="B7" i="8"/>
  <c r="D5" i="8"/>
  <c r="C9" i="10" s="1"/>
  <c r="E9" i="10" s="1"/>
  <c r="C5" i="8"/>
  <c r="C8" i="10" s="1"/>
  <c r="E8" i="10" s="1"/>
  <c r="B5" i="8"/>
  <c r="C7" i="10" s="1"/>
  <c r="E7" i="10" s="1"/>
  <c r="D4" i="8"/>
  <c r="D6" i="8" s="1"/>
  <c r="C4" i="8"/>
  <c r="C6" i="8" s="1"/>
  <c r="B4" i="8"/>
  <c r="C4" i="10" s="1"/>
  <c r="E4" i="10" s="1"/>
  <c r="G18" i="6"/>
  <c r="E18" i="6"/>
  <c r="C18" i="6"/>
  <c r="B18" i="6"/>
  <c r="A18" i="6"/>
  <c r="G17" i="6"/>
  <c r="E17" i="6"/>
  <c r="D17" i="6"/>
  <c r="F17" i="6" s="1"/>
  <c r="C17" i="6"/>
  <c r="B17" i="6"/>
  <c r="A17" i="6"/>
  <c r="G16" i="6"/>
  <c r="E16" i="6"/>
  <c r="D16" i="6"/>
  <c r="F16" i="6" s="1"/>
  <c r="C16" i="6"/>
  <c r="B16" i="6"/>
  <c r="A16" i="6"/>
  <c r="G15" i="6"/>
  <c r="E15" i="6"/>
  <c r="D15" i="6"/>
  <c r="F15" i="6" s="1"/>
  <c r="C15" i="6"/>
  <c r="B15" i="6"/>
  <c r="A15" i="6"/>
  <c r="G14" i="6"/>
  <c r="C14" i="6"/>
  <c r="B14" i="6"/>
  <c r="A14" i="6"/>
  <c r="E14" i="6" s="1"/>
  <c r="G13" i="6"/>
  <c r="C13" i="6"/>
  <c r="B13" i="6"/>
  <c r="A13" i="6"/>
  <c r="D13" i="6" s="1"/>
  <c r="G12" i="6"/>
  <c r="C12" i="6"/>
  <c r="B12" i="6"/>
  <c r="A12" i="6"/>
  <c r="E12" i="6" s="1"/>
  <c r="G11" i="6"/>
  <c r="C11" i="6"/>
  <c r="B11" i="6"/>
  <c r="A11" i="6"/>
  <c r="E11" i="6" s="1"/>
  <c r="G10" i="6"/>
  <c r="E10" i="6"/>
  <c r="C10" i="6"/>
  <c r="B10" i="6"/>
  <c r="A10" i="6"/>
  <c r="D10" i="6" s="1"/>
  <c r="F10" i="6" s="1"/>
  <c r="G9" i="6"/>
  <c r="D9" i="6"/>
  <c r="C9" i="6"/>
  <c r="B9" i="6"/>
  <c r="A9" i="6"/>
  <c r="G8" i="6"/>
  <c r="E8" i="6"/>
  <c r="D8" i="6"/>
  <c r="F8" i="6" s="1"/>
  <c r="C8" i="6"/>
  <c r="B8" i="6"/>
  <c r="A8" i="6"/>
  <c r="G7" i="6"/>
  <c r="E7" i="6"/>
  <c r="D7" i="6"/>
  <c r="F7" i="6" s="1"/>
  <c r="C7" i="6"/>
  <c r="B7" i="6"/>
  <c r="A7" i="6"/>
  <c r="G6" i="6"/>
  <c r="C6" i="6"/>
  <c r="B6" i="6"/>
  <c r="A6" i="6"/>
  <c r="E6" i="6" s="1"/>
  <c r="G5" i="6"/>
  <c r="C5" i="6"/>
  <c r="B5" i="6"/>
  <c r="A5" i="6"/>
  <c r="E5" i="6" s="1"/>
  <c r="G4" i="6"/>
  <c r="C4" i="6"/>
  <c r="B4" i="6"/>
  <c r="A4" i="6"/>
  <c r="E4" i="6" s="1"/>
  <c r="G3" i="6"/>
  <c r="C3" i="6"/>
  <c r="B3" i="6"/>
  <c r="A3" i="6"/>
  <c r="E3" i="6" s="1"/>
  <c r="G2" i="6"/>
  <c r="E2" i="6"/>
  <c r="C2" i="6"/>
  <c r="B2" i="6"/>
  <c r="A2" i="6"/>
  <c r="D2" i="6" s="1"/>
  <c r="O411" i="5"/>
  <c r="H411" i="5"/>
  <c r="G411" i="5"/>
  <c r="E411" i="5"/>
  <c r="O410" i="5"/>
  <c r="H410" i="5"/>
  <c r="G410" i="5"/>
  <c r="E410" i="5"/>
  <c r="O409" i="5"/>
  <c r="H409" i="5"/>
  <c r="G409" i="5"/>
  <c r="E409" i="5"/>
  <c r="O408" i="5"/>
  <c r="H408" i="5"/>
  <c r="G408" i="5"/>
  <c r="E408" i="5"/>
  <c r="O407" i="5"/>
  <c r="H407" i="5"/>
  <c r="G407" i="5"/>
  <c r="E407" i="5"/>
  <c r="O406" i="5"/>
  <c r="H406" i="5"/>
  <c r="G406" i="5"/>
  <c r="E406" i="5"/>
  <c r="H405" i="5"/>
  <c r="G405" i="5"/>
  <c r="E405" i="5"/>
  <c r="H404" i="5"/>
  <c r="G404" i="5"/>
  <c r="E404" i="5"/>
  <c r="O403" i="5"/>
  <c r="H403" i="5"/>
  <c r="G403" i="5"/>
  <c r="E403" i="5"/>
  <c r="O402" i="5"/>
  <c r="H402" i="5"/>
  <c r="G402" i="5"/>
  <c r="E402" i="5"/>
  <c r="O401" i="5"/>
  <c r="H401" i="5"/>
  <c r="G401" i="5"/>
  <c r="E401" i="5"/>
  <c r="O400" i="5"/>
  <c r="H400" i="5"/>
  <c r="G400" i="5"/>
  <c r="E400" i="5"/>
  <c r="H399" i="5"/>
  <c r="G399" i="5"/>
  <c r="E399" i="5"/>
  <c r="H398" i="5"/>
  <c r="G398" i="5"/>
  <c r="E398" i="5"/>
  <c r="O397" i="5"/>
  <c r="H397" i="5"/>
  <c r="G397" i="5"/>
  <c r="E397" i="5"/>
  <c r="O396" i="5"/>
  <c r="H396" i="5"/>
  <c r="G396" i="5"/>
  <c r="E396" i="5"/>
  <c r="O395" i="5"/>
  <c r="H395" i="5"/>
  <c r="G395" i="5"/>
  <c r="E395" i="5"/>
  <c r="O394" i="5"/>
  <c r="H394" i="5"/>
  <c r="G394" i="5"/>
  <c r="E394" i="5"/>
  <c r="O393" i="5"/>
  <c r="H393" i="5"/>
  <c r="G393" i="5"/>
  <c r="E393" i="5"/>
  <c r="O392" i="5"/>
  <c r="H392" i="5"/>
  <c r="G392" i="5"/>
  <c r="E392" i="5"/>
  <c r="O391" i="5"/>
  <c r="H391" i="5"/>
  <c r="G391" i="5"/>
  <c r="E391" i="5"/>
  <c r="O390" i="5"/>
  <c r="H390" i="5"/>
  <c r="G390" i="5"/>
  <c r="E390" i="5"/>
  <c r="O389" i="5"/>
  <c r="H389" i="5"/>
  <c r="G389" i="5"/>
  <c r="E389" i="5"/>
  <c r="O388" i="5"/>
  <c r="H388" i="5"/>
  <c r="G388" i="5"/>
  <c r="E388" i="5"/>
  <c r="H387" i="5"/>
  <c r="G387" i="5"/>
  <c r="E387" i="5"/>
  <c r="H386" i="5"/>
  <c r="G386" i="5"/>
  <c r="E386" i="5"/>
  <c r="O385" i="5"/>
  <c r="H385" i="5"/>
  <c r="G385" i="5"/>
  <c r="E385" i="5"/>
  <c r="O384" i="5"/>
  <c r="H384" i="5"/>
  <c r="G384" i="5"/>
  <c r="E384" i="5"/>
  <c r="O383" i="5"/>
  <c r="H383" i="5"/>
  <c r="G383" i="5"/>
  <c r="E383" i="5"/>
  <c r="O382" i="5"/>
  <c r="H382" i="5"/>
  <c r="G382" i="5"/>
  <c r="E382" i="5"/>
  <c r="O381" i="5"/>
  <c r="H381" i="5"/>
  <c r="G381" i="5"/>
  <c r="E381" i="5"/>
  <c r="O380" i="5"/>
  <c r="H380" i="5"/>
  <c r="G380" i="5"/>
  <c r="E380" i="5"/>
  <c r="H379" i="5"/>
  <c r="G379" i="5"/>
  <c r="E379" i="5"/>
  <c r="H378" i="5"/>
  <c r="G378" i="5"/>
  <c r="E378" i="5"/>
  <c r="O377" i="5"/>
  <c r="H377" i="5"/>
  <c r="G377" i="5"/>
  <c r="E377" i="5"/>
  <c r="O376" i="5"/>
  <c r="H376" i="5"/>
  <c r="G376" i="5"/>
  <c r="E376" i="5"/>
  <c r="O375" i="5"/>
  <c r="H375" i="5"/>
  <c r="G375" i="5"/>
  <c r="E375" i="5"/>
  <c r="O374" i="5"/>
  <c r="H374" i="5"/>
  <c r="G374" i="5"/>
  <c r="E374" i="5"/>
  <c r="H373" i="5"/>
  <c r="G373" i="5"/>
  <c r="E373" i="5"/>
  <c r="H372" i="5"/>
  <c r="G372" i="5"/>
  <c r="E372" i="5"/>
  <c r="O371" i="5"/>
  <c r="H371" i="5"/>
  <c r="G371" i="5"/>
  <c r="E371" i="5"/>
  <c r="O370" i="5"/>
  <c r="H370" i="5"/>
  <c r="G370" i="5"/>
  <c r="E370" i="5"/>
  <c r="O369" i="5"/>
  <c r="H369" i="5"/>
  <c r="G369" i="5"/>
  <c r="E369" i="5"/>
  <c r="O368" i="5"/>
  <c r="H368" i="5"/>
  <c r="G368" i="5"/>
  <c r="E368" i="5"/>
  <c r="O367" i="5"/>
  <c r="H367" i="5"/>
  <c r="G367" i="5"/>
  <c r="E367" i="5"/>
  <c r="O366" i="5"/>
  <c r="H366" i="5"/>
  <c r="G366" i="5"/>
  <c r="E366" i="5"/>
  <c r="O365" i="5"/>
  <c r="H365" i="5"/>
  <c r="G365" i="5"/>
  <c r="E365" i="5"/>
  <c r="O364" i="5"/>
  <c r="H364" i="5"/>
  <c r="G364" i="5"/>
  <c r="E364" i="5"/>
  <c r="O363" i="5"/>
  <c r="H363" i="5"/>
  <c r="G363" i="5"/>
  <c r="E363" i="5"/>
  <c r="O362" i="5"/>
  <c r="H362" i="5"/>
  <c r="G362" i="5"/>
  <c r="E362" i="5"/>
  <c r="H361" i="5"/>
  <c r="G361" i="5"/>
  <c r="E361" i="5"/>
  <c r="H360" i="5"/>
  <c r="G360" i="5"/>
  <c r="E360" i="5"/>
  <c r="O359" i="5"/>
  <c r="H359" i="5"/>
  <c r="G359" i="5"/>
  <c r="E359" i="5"/>
  <c r="O358" i="5"/>
  <c r="H358" i="5"/>
  <c r="G358" i="5"/>
  <c r="E358" i="5"/>
  <c r="O357" i="5"/>
  <c r="H357" i="5"/>
  <c r="G357" i="5"/>
  <c r="E357" i="5"/>
  <c r="O356" i="5"/>
  <c r="H356" i="5"/>
  <c r="G356" i="5"/>
  <c r="E356" i="5"/>
  <c r="H355" i="5"/>
  <c r="G355" i="5"/>
  <c r="E355" i="5"/>
  <c r="H354" i="5"/>
  <c r="G354" i="5"/>
  <c r="E354" i="5"/>
  <c r="O353" i="5"/>
  <c r="H353" i="5"/>
  <c r="G353" i="5"/>
  <c r="E353" i="5"/>
  <c r="O352" i="5"/>
  <c r="H352" i="5"/>
  <c r="G352" i="5"/>
  <c r="E352" i="5"/>
  <c r="O351" i="5"/>
  <c r="H351" i="5"/>
  <c r="G351" i="5"/>
  <c r="E351" i="5"/>
  <c r="O350" i="5"/>
  <c r="H350" i="5"/>
  <c r="G350" i="5"/>
  <c r="E350" i="5"/>
  <c r="H349" i="5"/>
  <c r="G349" i="5"/>
  <c r="E349" i="5"/>
  <c r="H348" i="5"/>
  <c r="G348" i="5"/>
  <c r="E348" i="5"/>
  <c r="O347" i="5"/>
  <c r="H347" i="5"/>
  <c r="G347" i="5"/>
  <c r="E347" i="5"/>
  <c r="O346" i="5"/>
  <c r="H346" i="5"/>
  <c r="G346" i="5"/>
  <c r="E346" i="5"/>
  <c r="O345" i="5"/>
  <c r="H345" i="5"/>
  <c r="G345" i="5"/>
  <c r="E345" i="5"/>
  <c r="O344" i="5"/>
  <c r="H344" i="5"/>
  <c r="G344" i="5"/>
  <c r="E344" i="5"/>
  <c r="O343" i="5"/>
  <c r="H343" i="5"/>
  <c r="G343" i="5"/>
  <c r="E343" i="5"/>
  <c r="O342" i="5"/>
  <c r="H342" i="5"/>
  <c r="G342" i="5"/>
  <c r="E342" i="5"/>
  <c r="O341" i="5"/>
  <c r="H341" i="5"/>
  <c r="G341" i="5"/>
  <c r="E341" i="5"/>
  <c r="O340" i="5"/>
  <c r="H340" i="5"/>
  <c r="G340" i="5"/>
  <c r="E340" i="5"/>
  <c r="O339" i="5"/>
  <c r="H339" i="5"/>
  <c r="G339" i="5"/>
  <c r="E339" i="5"/>
  <c r="O338" i="5"/>
  <c r="H338" i="5"/>
  <c r="G338" i="5"/>
  <c r="E338" i="5"/>
  <c r="H337" i="5"/>
  <c r="G337" i="5"/>
  <c r="E337" i="5"/>
  <c r="H336" i="5"/>
  <c r="G336" i="5"/>
  <c r="E336" i="5"/>
  <c r="O335" i="5"/>
  <c r="H335" i="5"/>
  <c r="G335" i="5"/>
  <c r="E335" i="5"/>
  <c r="O334" i="5"/>
  <c r="H334" i="5"/>
  <c r="G334" i="5"/>
  <c r="E334" i="5"/>
  <c r="O333" i="5"/>
  <c r="H333" i="5"/>
  <c r="G333" i="5"/>
  <c r="E333" i="5"/>
  <c r="O332" i="5"/>
  <c r="H332" i="5"/>
  <c r="G332" i="5"/>
  <c r="E332" i="5"/>
  <c r="O331" i="5"/>
  <c r="H331" i="5"/>
  <c r="G331" i="5"/>
  <c r="E331" i="5"/>
  <c r="O330" i="5"/>
  <c r="H330" i="5"/>
  <c r="G330" i="5"/>
  <c r="E330" i="5"/>
  <c r="H329" i="5"/>
  <c r="G329" i="5"/>
  <c r="E329" i="5"/>
  <c r="H328" i="5"/>
  <c r="G328" i="5"/>
  <c r="E328" i="5"/>
  <c r="O327" i="5"/>
  <c r="H327" i="5"/>
  <c r="G327" i="5"/>
  <c r="E327" i="5"/>
  <c r="O326" i="5"/>
  <c r="H326" i="5"/>
  <c r="G326" i="5"/>
  <c r="E326" i="5"/>
  <c r="O325" i="5"/>
  <c r="H325" i="5"/>
  <c r="G325" i="5"/>
  <c r="E325" i="5"/>
  <c r="O324" i="5"/>
  <c r="H324" i="5"/>
  <c r="G324" i="5"/>
  <c r="E324" i="5"/>
  <c r="H323" i="5"/>
  <c r="G323" i="5"/>
  <c r="E323" i="5"/>
  <c r="H322" i="5"/>
  <c r="G322" i="5"/>
  <c r="E322" i="5"/>
  <c r="O321" i="5"/>
  <c r="H321" i="5"/>
  <c r="G321" i="5"/>
  <c r="E321" i="5"/>
  <c r="O320" i="5"/>
  <c r="H320" i="5"/>
  <c r="G320" i="5"/>
  <c r="E320" i="5"/>
  <c r="O319" i="5"/>
  <c r="H319" i="5"/>
  <c r="G319" i="5"/>
  <c r="E319" i="5"/>
  <c r="O318" i="5"/>
  <c r="H318" i="5"/>
  <c r="G318" i="5"/>
  <c r="E318" i="5"/>
  <c r="O317" i="5"/>
  <c r="H317" i="5"/>
  <c r="G317" i="5"/>
  <c r="E317" i="5"/>
  <c r="O316" i="5"/>
  <c r="H316" i="5"/>
  <c r="G316" i="5"/>
  <c r="E316" i="5"/>
  <c r="O315" i="5"/>
  <c r="H315" i="5"/>
  <c r="G315" i="5"/>
  <c r="E315" i="5"/>
  <c r="O314" i="5"/>
  <c r="H314" i="5"/>
  <c r="G314" i="5"/>
  <c r="E314" i="5"/>
  <c r="O313" i="5"/>
  <c r="H313" i="5"/>
  <c r="G313" i="5"/>
  <c r="E313" i="5"/>
  <c r="O312" i="5"/>
  <c r="H312" i="5"/>
  <c r="G312" i="5"/>
  <c r="E312" i="5"/>
  <c r="H311" i="5"/>
  <c r="G311" i="5"/>
  <c r="E311" i="5"/>
  <c r="H310" i="5"/>
  <c r="G310" i="5"/>
  <c r="E310" i="5"/>
  <c r="O309" i="5"/>
  <c r="H309" i="5"/>
  <c r="G309" i="5"/>
  <c r="E309" i="5"/>
  <c r="O308" i="5"/>
  <c r="H308" i="5"/>
  <c r="G308" i="5"/>
  <c r="E308" i="5"/>
  <c r="O307" i="5"/>
  <c r="H307" i="5"/>
  <c r="G307" i="5"/>
  <c r="E307" i="5"/>
  <c r="O306" i="5"/>
  <c r="H306" i="5"/>
  <c r="G306" i="5"/>
  <c r="E306" i="5"/>
  <c r="O305" i="5"/>
  <c r="H305" i="5"/>
  <c r="G305" i="5"/>
  <c r="E305" i="5"/>
  <c r="O304" i="5"/>
  <c r="H304" i="5"/>
  <c r="G304" i="5"/>
  <c r="E304" i="5"/>
  <c r="H303" i="5"/>
  <c r="G303" i="5"/>
  <c r="E303" i="5"/>
  <c r="H302" i="5"/>
  <c r="G302" i="5"/>
  <c r="E302" i="5"/>
  <c r="O301" i="5"/>
  <c r="H301" i="5"/>
  <c r="G301" i="5"/>
  <c r="E301" i="5"/>
  <c r="O300" i="5"/>
  <c r="H300" i="5"/>
  <c r="G300" i="5"/>
  <c r="E300" i="5"/>
  <c r="O299" i="5"/>
  <c r="H299" i="5"/>
  <c r="G299" i="5"/>
  <c r="E299" i="5"/>
  <c r="O298" i="5"/>
  <c r="H298" i="5"/>
  <c r="G298" i="5"/>
  <c r="E298" i="5"/>
  <c r="H297" i="5"/>
  <c r="G297" i="5"/>
  <c r="E297" i="5"/>
  <c r="H296" i="5"/>
  <c r="G296" i="5"/>
  <c r="E296" i="5"/>
  <c r="O295" i="5"/>
  <c r="H295" i="5"/>
  <c r="G295" i="5"/>
  <c r="E295" i="5"/>
  <c r="O294" i="5"/>
  <c r="H294" i="5"/>
  <c r="G294" i="5"/>
  <c r="E294" i="5"/>
  <c r="O293" i="5"/>
  <c r="H293" i="5"/>
  <c r="G293" i="5"/>
  <c r="E293" i="5"/>
  <c r="O292" i="5"/>
  <c r="H292" i="5"/>
  <c r="G292" i="5"/>
  <c r="E292" i="5"/>
  <c r="O291" i="5"/>
  <c r="H291" i="5"/>
  <c r="G291" i="5"/>
  <c r="E291" i="5"/>
  <c r="O290" i="5"/>
  <c r="H290" i="5"/>
  <c r="G290" i="5"/>
  <c r="E290" i="5"/>
  <c r="O289" i="5"/>
  <c r="H289" i="5"/>
  <c r="G289" i="5"/>
  <c r="E289" i="5"/>
  <c r="O288" i="5"/>
  <c r="H288" i="5"/>
  <c r="G288" i="5"/>
  <c r="E288" i="5"/>
  <c r="O287" i="5"/>
  <c r="H287" i="5"/>
  <c r="G287" i="5"/>
  <c r="E287" i="5"/>
  <c r="O286" i="5"/>
  <c r="H286" i="5"/>
  <c r="G286" i="5"/>
  <c r="E286" i="5"/>
  <c r="H285" i="5"/>
  <c r="G285" i="5"/>
  <c r="E285" i="5"/>
  <c r="H284" i="5"/>
  <c r="G284" i="5"/>
  <c r="E284" i="5"/>
  <c r="O283" i="5"/>
  <c r="H283" i="5"/>
  <c r="G283" i="5"/>
  <c r="E283" i="5"/>
  <c r="O282" i="5"/>
  <c r="H282" i="5"/>
  <c r="G282" i="5"/>
  <c r="E282" i="5"/>
  <c r="O281" i="5"/>
  <c r="H281" i="5"/>
  <c r="G281" i="5"/>
  <c r="E281" i="5"/>
  <c r="O280" i="5"/>
  <c r="H280" i="5"/>
  <c r="G280" i="5"/>
  <c r="E280" i="5"/>
  <c r="H279" i="5"/>
  <c r="G279" i="5"/>
  <c r="E279" i="5"/>
  <c r="H278" i="5"/>
  <c r="G278" i="5"/>
  <c r="E278" i="5"/>
  <c r="O277" i="5"/>
  <c r="H277" i="5"/>
  <c r="G277" i="5"/>
  <c r="E277" i="5"/>
  <c r="O276" i="5"/>
  <c r="H276" i="5"/>
  <c r="G276" i="5"/>
  <c r="E276" i="5"/>
  <c r="O275" i="5"/>
  <c r="H275" i="5"/>
  <c r="G275" i="5"/>
  <c r="E275" i="5"/>
  <c r="O274" i="5"/>
  <c r="H274" i="5"/>
  <c r="G274" i="5"/>
  <c r="E274" i="5"/>
  <c r="H273" i="5"/>
  <c r="G273" i="5"/>
  <c r="E273" i="5"/>
  <c r="H272" i="5"/>
  <c r="G272" i="5"/>
  <c r="E272" i="5"/>
  <c r="O271" i="5"/>
  <c r="H271" i="5"/>
  <c r="G271" i="5"/>
  <c r="E271" i="5"/>
  <c r="O270" i="5"/>
  <c r="H270" i="5"/>
  <c r="G270" i="5"/>
  <c r="E270" i="5"/>
  <c r="O269" i="5"/>
  <c r="H269" i="5"/>
  <c r="G269" i="5"/>
  <c r="E269" i="5"/>
  <c r="O268" i="5"/>
  <c r="H268" i="5"/>
  <c r="G268" i="5"/>
  <c r="E268" i="5"/>
  <c r="O267" i="5"/>
  <c r="H267" i="5"/>
  <c r="G267" i="5"/>
  <c r="E267" i="5"/>
  <c r="O266" i="5"/>
  <c r="H266" i="5"/>
  <c r="G266" i="5"/>
  <c r="E266" i="5"/>
  <c r="O265" i="5"/>
  <c r="H265" i="5"/>
  <c r="G265" i="5"/>
  <c r="E265" i="5"/>
  <c r="O264" i="5"/>
  <c r="H264" i="5"/>
  <c r="G264" i="5"/>
  <c r="E264" i="5"/>
  <c r="O263" i="5"/>
  <c r="H263" i="5"/>
  <c r="G263" i="5"/>
  <c r="E263" i="5"/>
  <c r="O262" i="5"/>
  <c r="H262" i="5"/>
  <c r="G262" i="5"/>
  <c r="E262" i="5"/>
  <c r="H261" i="5"/>
  <c r="G261" i="5"/>
  <c r="E261" i="5"/>
  <c r="H260" i="5"/>
  <c r="G260" i="5"/>
  <c r="E260" i="5"/>
  <c r="O259" i="5"/>
  <c r="H259" i="5"/>
  <c r="G259" i="5"/>
  <c r="E259" i="5"/>
  <c r="O258" i="5"/>
  <c r="H258" i="5"/>
  <c r="G258" i="5"/>
  <c r="E258" i="5"/>
  <c r="O257" i="5"/>
  <c r="H257" i="5"/>
  <c r="G257" i="5"/>
  <c r="E257" i="5"/>
  <c r="O256" i="5"/>
  <c r="H256" i="5"/>
  <c r="G256" i="5"/>
  <c r="E256" i="5"/>
  <c r="O255" i="5"/>
  <c r="H255" i="5"/>
  <c r="G255" i="5"/>
  <c r="E255" i="5"/>
  <c r="O254" i="5"/>
  <c r="H254" i="5"/>
  <c r="G254" i="5"/>
  <c r="E254" i="5"/>
  <c r="H253" i="5"/>
  <c r="G253" i="5"/>
  <c r="E253" i="5"/>
  <c r="H252" i="5"/>
  <c r="G252" i="5"/>
  <c r="E252" i="5"/>
  <c r="O251" i="5"/>
  <c r="H251" i="5"/>
  <c r="G251" i="5"/>
  <c r="E251" i="5"/>
  <c r="O250" i="5"/>
  <c r="H250" i="5"/>
  <c r="G250" i="5"/>
  <c r="E250" i="5"/>
  <c r="O249" i="5"/>
  <c r="H249" i="5"/>
  <c r="G249" i="5"/>
  <c r="E249" i="5"/>
  <c r="O248" i="5"/>
  <c r="H248" i="5"/>
  <c r="G248" i="5"/>
  <c r="E248" i="5"/>
  <c r="H247" i="5"/>
  <c r="G247" i="5"/>
  <c r="E247" i="5"/>
  <c r="H246" i="5"/>
  <c r="G246" i="5"/>
  <c r="E246" i="5"/>
  <c r="O245" i="5"/>
  <c r="H245" i="5"/>
  <c r="G245" i="5"/>
  <c r="E245" i="5"/>
  <c r="O244" i="5"/>
  <c r="H244" i="5"/>
  <c r="G244" i="5"/>
  <c r="E244" i="5"/>
  <c r="O243" i="5"/>
  <c r="H243" i="5"/>
  <c r="G243" i="5"/>
  <c r="E243" i="5"/>
  <c r="O242" i="5"/>
  <c r="H242" i="5"/>
  <c r="G242" i="5"/>
  <c r="E242" i="5"/>
  <c r="O241" i="5"/>
  <c r="H241" i="5"/>
  <c r="G241" i="5"/>
  <c r="E241" i="5"/>
  <c r="O240" i="5"/>
  <c r="H240" i="5"/>
  <c r="G240" i="5"/>
  <c r="E240" i="5"/>
  <c r="O239" i="5"/>
  <c r="H239" i="5"/>
  <c r="G239" i="5"/>
  <c r="E239" i="5"/>
  <c r="O238" i="5"/>
  <c r="H238" i="5"/>
  <c r="G238" i="5"/>
  <c r="E238" i="5"/>
  <c r="O237" i="5"/>
  <c r="H237" i="5"/>
  <c r="G237" i="5"/>
  <c r="E237" i="5"/>
  <c r="O236" i="5"/>
  <c r="H236" i="5"/>
  <c r="G236" i="5"/>
  <c r="E236" i="5"/>
  <c r="H235" i="5"/>
  <c r="G235" i="5"/>
  <c r="E235" i="5"/>
  <c r="H234" i="5"/>
  <c r="G234" i="5"/>
  <c r="E234" i="5"/>
  <c r="O233" i="5"/>
  <c r="H233" i="5"/>
  <c r="G233" i="5"/>
  <c r="E233" i="5"/>
  <c r="O232" i="5"/>
  <c r="H232" i="5"/>
  <c r="G232" i="5"/>
  <c r="E232" i="5"/>
  <c r="O231" i="5"/>
  <c r="H231" i="5"/>
  <c r="G231" i="5"/>
  <c r="E231" i="5"/>
  <c r="O230" i="5"/>
  <c r="H230" i="5"/>
  <c r="G230" i="5"/>
  <c r="E230" i="5"/>
  <c r="O229" i="5"/>
  <c r="H229" i="5"/>
  <c r="G229" i="5"/>
  <c r="E229" i="5"/>
  <c r="O228" i="5"/>
  <c r="H228" i="5"/>
  <c r="G228" i="5"/>
  <c r="E228" i="5"/>
  <c r="H227" i="5"/>
  <c r="G227" i="5"/>
  <c r="E227" i="5"/>
  <c r="H226" i="5"/>
  <c r="G226" i="5"/>
  <c r="E226" i="5"/>
  <c r="O225" i="5"/>
  <c r="H225" i="5"/>
  <c r="G225" i="5"/>
  <c r="E225" i="5"/>
  <c r="O224" i="5"/>
  <c r="H224" i="5"/>
  <c r="G224" i="5"/>
  <c r="E224" i="5"/>
  <c r="O223" i="5"/>
  <c r="H223" i="5"/>
  <c r="G223" i="5"/>
  <c r="E223" i="5"/>
  <c r="O222" i="5"/>
  <c r="H222" i="5"/>
  <c r="G222" i="5"/>
  <c r="E222" i="5"/>
  <c r="H221" i="5"/>
  <c r="G221" i="5"/>
  <c r="E221" i="5"/>
  <c r="H220" i="5"/>
  <c r="G220" i="5"/>
  <c r="E220" i="5"/>
  <c r="O219" i="5"/>
  <c r="H219" i="5"/>
  <c r="G219" i="5"/>
  <c r="E219" i="5"/>
  <c r="O218" i="5"/>
  <c r="H218" i="5"/>
  <c r="G218" i="5"/>
  <c r="E218" i="5"/>
  <c r="O217" i="5"/>
  <c r="H217" i="5"/>
  <c r="G217" i="5"/>
  <c r="E217" i="5"/>
  <c r="O216" i="5"/>
  <c r="H216" i="5"/>
  <c r="G216" i="5"/>
  <c r="E216" i="5"/>
  <c r="O215" i="5"/>
  <c r="H215" i="5"/>
  <c r="G215" i="5"/>
  <c r="E215" i="5"/>
  <c r="O214" i="5"/>
  <c r="H214" i="5"/>
  <c r="G214" i="5"/>
  <c r="E214" i="5"/>
  <c r="O213" i="5"/>
  <c r="H213" i="5"/>
  <c r="G213" i="5"/>
  <c r="E213" i="5"/>
  <c r="O212" i="5"/>
  <c r="H212" i="5"/>
  <c r="G212" i="5"/>
  <c r="E212" i="5"/>
  <c r="O211" i="5"/>
  <c r="H211" i="5"/>
  <c r="G211" i="5"/>
  <c r="E211" i="5"/>
  <c r="O210" i="5"/>
  <c r="H210" i="5"/>
  <c r="G210" i="5"/>
  <c r="E210" i="5"/>
  <c r="H209" i="5"/>
  <c r="G209" i="5"/>
  <c r="E209" i="5"/>
  <c r="H208" i="5"/>
  <c r="G208" i="5"/>
  <c r="E208" i="5"/>
  <c r="O207" i="5"/>
  <c r="H207" i="5"/>
  <c r="G207" i="5"/>
  <c r="E207" i="5"/>
  <c r="O206" i="5"/>
  <c r="H206" i="5"/>
  <c r="G206" i="5"/>
  <c r="E206" i="5"/>
  <c r="O205" i="5"/>
  <c r="H205" i="5"/>
  <c r="G205" i="5"/>
  <c r="E205" i="5"/>
  <c r="O204" i="5"/>
  <c r="H204" i="5"/>
  <c r="G204" i="5"/>
  <c r="E204" i="5"/>
  <c r="H203" i="5"/>
  <c r="G203" i="5"/>
  <c r="E203" i="5"/>
  <c r="H202" i="5"/>
  <c r="G202" i="5"/>
  <c r="E202" i="5"/>
  <c r="O201" i="5"/>
  <c r="H201" i="5"/>
  <c r="G201" i="5"/>
  <c r="E201" i="5"/>
  <c r="O200" i="5"/>
  <c r="H200" i="5"/>
  <c r="G200" i="5"/>
  <c r="E200" i="5"/>
  <c r="O199" i="5"/>
  <c r="H199" i="5"/>
  <c r="G199" i="5"/>
  <c r="E199" i="5"/>
  <c r="O198" i="5"/>
  <c r="H198" i="5"/>
  <c r="G198" i="5"/>
  <c r="E198" i="5"/>
  <c r="H197" i="5"/>
  <c r="G197" i="5"/>
  <c r="E197" i="5"/>
  <c r="H196" i="5"/>
  <c r="G196" i="5"/>
  <c r="E196" i="5"/>
  <c r="O195" i="5"/>
  <c r="H195" i="5"/>
  <c r="G195" i="5"/>
  <c r="E195" i="5"/>
  <c r="O194" i="5"/>
  <c r="H194" i="5"/>
  <c r="G194" i="5"/>
  <c r="E194" i="5"/>
  <c r="O193" i="5"/>
  <c r="H193" i="5"/>
  <c r="G193" i="5"/>
  <c r="E193" i="5"/>
  <c r="O192" i="5"/>
  <c r="H192" i="5"/>
  <c r="G192" i="5"/>
  <c r="E192" i="5"/>
  <c r="O191" i="5"/>
  <c r="H191" i="5"/>
  <c r="G191" i="5"/>
  <c r="E191" i="5"/>
  <c r="O190" i="5"/>
  <c r="H190" i="5"/>
  <c r="G190" i="5"/>
  <c r="E190" i="5"/>
  <c r="O189" i="5"/>
  <c r="H189" i="5"/>
  <c r="G189" i="5"/>
  <c r="E189" i="5"/>
  <c r="O188" i="5"/>
  <c r="H188" i="5"/>
  <c r="G188" i="5"/>
  <c r="E188" i="5"/>
  <c r="O187" i="5"/>
  <c r="H187" i="5"/>
  <c r="G187" i="5"/>
  <c r="E187" i="5"/>
  <c r="O186" i="5"/>
  <c r="H186" i="5"/>
  <c r="G186" i="5"/>
  <c r="E186" i="5"/>
  <c r="H185" i="5"/>
  <c r="G185" i="5"/>
  <c r="E185" i="5"/>
  <c r="H184" i="5"/>
  <c r="G184" i="5"/>
  <c r="E184" i="5"/>
  <c r="O183" i="5"/>
  <c r="H183" i="5"/>
  <c r="G183" i="5"/>
  <c r="E183" i="5"/>
  <c r="O182" i="5"/>
  <c r="H182" i="5"/>
  <c r="G182" i="5"/>
  <c r="E182" i="5"/>
  <c r="O181" i="5"/>
  <c r="H181" i="5"/>
  <c r="G181" i="5"/>
  <c r="E181" i="5"/>
  <c r="O180" i="5"/>
  <c r="H180" i="5"/>
  <c r="G180" i="5"/>
  <c r="E180" i="5"/>
  <c r="O179" i="5"/>
  <c r="H179" i="5"/>
  <c r="G179" i="5"/>
  <c r="E179" i="5"/>
  <c r="O178" i="5"/>
  <c r="H178" i="5"/>
  <c r="G178" i="5"/>
  <c r="E178" i="5"/>
  <c r="H177" i="5"/>
  <c r="G177" i="5"/>
  <c r="E177" i="5"/>
  <c r="H176" i="5"/>
  <c r="G176" i="5"/>
  <c r="E176" i="5"/>
  <c r="O175" i="5"/>
  <c r="H175" i="5"/>
  <c r="G175" i="5"/>
  <c r="E175" i="5"/>
  <c r="O174" i="5"/>
  <c r="H174" i="5"/>
  <c r="G174" i="5"/>
  <c r="E174" i="5"/>
  <c r="O173" i="5"/>
  <c r="H173" i="5"/>
  <c r="G173" i="5"/>
  <c r="E173" i="5"/>
  <c r="O172" i="5"/>
  <c r="H172" i="5"/>
  <c r="G172" i="5"/>
  <c r="E172" i="5"/>
  <c r="H171" i="5"/>
  <c r="G171" i="5"/>
  <c r="E171" i="5"/>
  <c r="H170" i="5"/>
  <c r="G170" i="5"/>
  <c r="E170" i="5"/>
  <c r="O169" i="5"/>
  <c r="H169" i="5"/>
  <c r="G169" i="5"/>
  <c r="E169" i="5"/>
  <c r="O168" i="5"/>
  <c r="H168" i="5"/>
  <c r="G168" i="5"/>
  <c r="E168" i="5"/>
  <c r="O167" i="5"/>
  <c r="H167" i="5"/>
  <c r="G167" i="5"/>
  <c r="E167" i="5"/>
  <c r="O166" i="5"/>
  <c r="H166" i="5"/>
  <c r="G166" i="5"/>
  <c r="E166" i="5"/>
  <c r="O165" i="5"/>
  <c r="H165" i="5"/>
  <c r="G165" i="5"/>
  <c r="E165" i="5"/>
  <c r="O164" i="5"/>
  <c r="H164" i="5"/>
  <c r="G164" i="5"/>
  <c r="E164" i="5"/>
  <c r="O163" i="5"/>
  <c r="H163" i="5"/>
  <c r="G163" i="5"/>
  <c r="E163" i="5"/>
  <c r="O162" i="5"/>
  <c r="H162" i="5"/>
  <c r="G162" i="5"/>
  <c r="E162" i="5"/>
  <c r="O161" i="5"/>
  <c r="H161" i="5"/>
  <c r="G161" i="5"/>
  <c r="E161" i="5"/>
  <c r="O160" i="5"/>
  <c r="H160" i="5"/>
  <c r="G160" i="5"/>
  <c r="E160" i="5"/>
  <c r="H159" i="5"/>
  <c r="G159" i="5"/>
  <c r="E159" i="5"/>
  <c r="H158" i="5"/>
  <c r="G158" i="5"/>
  <c r="E158" i="5"/>
  <c r="O157" i="5"/>
  <c r="H157" i="5"/>
  <c r="G157" i="5"/>
  <c r="E157" i="5"/>
  <c r="O156" i="5"/>
  <c r="H156" i="5"/>
  <c r="G156" i="5"/>
  <c r="E156" i="5"/>
  <c r="O155" i="5"/>
  <c r="H155" i="5"/>
  <c r="G155" i="5"/>
  <c r="E155" i="5"/>
  <c r="O154" i="5"/>
  <c r="H154" i="5"/>
  <c r="G154" i="5"/>
  <c r="E154" i="5"/>
  <c r="O153" i="5"/>
  <c r="H153" i="5"/>
  <c r="G153" i="5"/>
  <c r="E153" i="5"/>
  <c r="O152" i="5"/>
  <c r="H152" i="5"/>
  <c r="G152" i="5"/>
  <c r="E152" i="5"/>
  <c r="H151" i="5"/>
  <c r="G151" i="5"/>
  <c r="E151" i="5"/>
  <c r="H150" i="5"/>
  <c r="G150" i="5"/>
  <c r="E150" i="5"/>
  <c r="O149" i="5"/>
  <c r="H149" i="5"/>
  <c r="G149" i="5"/>
  <c r="E149" i="5"/>
  <c r="O148" i="5"/>
  <c r="H148" i="5"/>
  <c r="G148" i="5"/>
  <c r="E148" i="5"/>
  <c r="O147" i="5"/>
  <c r="H147" i="5"/>
  <c r="G147" i="5"/>
  <c r="E147" i="5"/>
  <c r="O146" i="5"/>
  <c r="H146" i="5"/>
  <c r="G146" i="5"/>
  <c r="E146" i="5"/>
  <c r="H145" i="5"/>
  <c r="G145" i="5"/>
  <c r="E145" i="5"/>
  <c r="H144" i="5"/>
  <c r="G144" i="5"/>
  <c r="E144" i="5"/>
  <c r="O143" i="5"/>
  <c r="H143" i="5"/>
  <c r="G143" i="5"/>
  <c r="E143" i="5"/>
  <c r="O142" i="5"/>
  <c r="H142" i="5"/>
  <c r="G142" i="5"/>
  <c r="E142" i="5"/>
  <c r="O141" i="5"/>
  <c r="H141" i="5"/>
  <c r="G141" i="5"/>
  <c r="E141" i="5"/>
  <c r="O140" i="5"/>
  <c r="H140" i="5"/>
  <c r="G140" i="5"/>
  <c r="E140" i="5"/>
  <c r="O139" i="5"/>
  <c r="H139" i="5"/>
  <c r="G139" i="5"/>
  <c r="E139" i="5"/>
  <c r="O138" i="5"/>
  <c r="H138" i="5"/>
  <c r="G138" i="5"/>
  <c r="E138" i="5"/>
  <c r="O137" i="5"/>
  <c r="H137" i="5"/>
  <c r="G137" i="5"/>
  <c r="E137" i="5"/>
  <c r="O136" i="5"/>
  <c r="H136" i="5"/>
  <c r="G136" i="5"/>
  <c r="E136" i="5"/>
  <c r="O135" i="5"/>
  <c r="H135" i="5"/>
  <c r="G135" i="5"/>
  <c r="E135" i="5"/>
  <c r="O134" i="5"/>
  <c r="H134" i="5"/>
  <c r="G134" i="5"/>
  <c r="E134" i="5"/>
  <c r="H133" i="5"/>
  <c r="G133" i="5"/>
  <c r="E133" i="5"/>
  <c r="H132" i="5"/>
  <c r="G132" i="5"/>
  <c r="E132" i="5"/>
  <c r="O131" i="5"/>
  <c r="H131" i="5"/>
  <c r="G131" i="5"/>
  <c r="E131" i="5"/>
  <c r="O130" i="5"/>
  <c r="H130" i="5"/>
  <c r="G130" i="5"/>
  <c r="E130" i="5"/>
  <c r="O129" i="5"/>
  <c r="H129" i="5"/>
  <c r="G129" i="5"/>
  <c r="E129" i="5"/>
  <c r="O128" i="5"/>
  <c r="H128" i="5"/>
  <c r="G128" i="5"/>
  <c r="E128" i="5"/>
  <c r="H127" i="5"/>
  <c r="G127" i="5"/>
  <c r="E127" i="5"/>
  <c r="H126" i="5"/>
  <c r="G126" i="5"/>
  <c r="E126" i="5"/>
  <c r="O125" i="5"/>
  <c r="H125" i="5"/>
  <c r="G125" i="5"/>
  <c r="E125" i="5"/>
  <c r="O124" i="5"/>
  <c r="H124" i="5"/>
  <c r="G124" i="5"/>
  <c r="E124" i="5"/>
  <c r="O123" i="5"/>
  <c r="H123" i="5"/>
  <c r="G123" i="5"/>
  <c r="E123" i="5"/>
  <c r="O122" i="5"/>
  <c r="H122" i="5"/>
  <c r="G122" i="5"/>
  <c r="E122" i="5"/>
  <c r="H121" i="5"/>
  <c r="G121" i="5"/>
  <c r="E121" i="5"/>
  <c r="H120" i="5"/>
  <c r="G120" i="5"/>
  <c r="E120" i="5"/>
  <c r="O119" i="5"/>
  <c r="H119" i="5"/>
  <c r="G119" i="5"/>
  <c r="E119" i="5"/>
  <c r="O118" i="5"/>
  <c r="H118" i="5"/>
  <c r="G118" i="5"/>
  <c r="E118" i="5"/>
  <c r="O117" i="5"/>
  <c r="H117" i="5"/>
  <c r="G117" i="5"/>
  <c r="E117" i="5"/>
  <c r="O116" i="5"/>
  <c r="H116" i="5"/>
  <c r="G116" i="5"/>
  <c r="E116" i="5"/>
  <c r="O115" i="5"/>
  <c r="H115" i="5"/>
  <c r="G115" i="5"/>
  <c r="E115" i="5"/>
  <c r="O114" i="5"/>
  <c r="H114" i="5"/>
  <c r="G114" i="5"/>
  <c r="E114" i="5"/>
  <c r="O113" i="5"/>
  <c r="H113" i="5"/>
  <c r="G113" i="5"/>
  <c r="E113" i="5"/>
  <c r="O112" i="5"/>
  <c r="H112" i="5"/>
  <c r="G112" i="5"/>
  <c r="E112" i="5"/>
  <c r="O111" i="5"/>
  <c r="H111" i="5"/>
  <c r="G111" i="5"/>
  <c r="E111" i="5"/>
  <c r="O110" i="5"/>
  <c r="H110" i="5"/>
  <c r="G110" i="5"/>
  <c r="E110" i="5"/>
  <c r="H109" i="5"/>
  <c r="G109" i="5"/>
  <c r="E109" i="5"/>
  <c r="H108" i="5"/>
  <c r="G108" i="5"/>
  <c r="E108" i="5"/>
  <c r="O107" i="5"/>
  <c r="H107" i="5"/>
  <c r="G107" i="5"/>
  <c r="E107" i="5"/>
  <c r="O106" i="5"/>
  <c r="H106" i="5"/>
  <c r="G106" i="5"/>
  <c r="E106" i="5"/>
  <c r="O105" i="5"/>
  <c r="H105" i="5"/>
  <c r="G105" i="5"/>
  <c r="E105" i="5"/>
  <c r="O104" i="5"/>
  <c r="H104" i="5"/>
  <c r="G104" i="5"/>
  <c r="E104" i="5"/>
  <c r="O103" i="5"/>
  <c r="H103" i="5"/>
  <c r="G103" i="5"/>
  <c r="E103" i="5"/>
  <c r="O102" i="5"/>
  <c r="H102" i="5"/>
  <c r="G102" i="5"/>
  <c r="E102" i="5"/>
  <c r="H101" i="5"/>
  <c r="G101" i="5"/>
  <c r="E101" i="5"/>
  <c r="H100" i="5"/>
  <c r="G100" i="5"/>
  <c r="E100" i="5"/>
  <c r="O99" i="5"/>
  <c r="H99" i="5"/>
  <c r="G99" i="5"/>
  <c r="E99" i="5"/>
  <c r="O98" i="5"/>
  <c r="H98" i="5"/>
  <c r="G98" i="5"/>
  <c r="E98" i="5"/>
  <c r="O97" i="5"/>
  <c r="H97" i="5"/>
  <c r="G97" i="5"/>
  <c r="E97" i="5"/>
  <c r="O96" i="5"/>
  <c r="H96" i="5"/>
  <c r="G96" i="5"/>
  <c r="E96" i="5"/>
  <c r="H95" i="5"/>
  <c r="G95" i="5"/>
  <c r="E95" i="5"/>
  <c r="H94" i="5"/>
  <c r="G94" i="5"/>
  <c r="E94" i="5"/>
  <c r="O93" i="5"/>
  <c r="H93" i="5"/>
  <c r="G93" i="5"/>
  <c r="E93" i="5"/>
  <c r="O92" i="5"/>
  <c r="H92" i="5"/>
  <c r="G92" i="5"/>
  <c r="E92" i="5"/>
  <c r="O91" i="5"/>
  <c r="H91" i="5"/>
  <c r="G91" i="5"/>
  <c r="E91" i="5"/>
  <c r="O90" i="5"/>
  <c r="H90" i="5"/>
  <c r="G90" i="5"/>
  <c r="E90" i="5"/>
  <c r="O89" i="5"/>
  <c r="H89" i="5"/>
  <c r="G89" i="5"/>
  <c r="E89" i="5"/>
  <c r="O88" i="5"/>
  <c r="H88" i="5"/>
  <c r="G88" i="5"/>
  <c r="E88" i="5"/>
  <c r="O87" i="5"/>
  <c r="H87" i="5"/>
  <c r="G87" i="5"/>
  <c r="E87" i="5"/>
  <c r="O86" i="5"/>
  <c r="H86" i="5"/>
  <c r="G86" i="5"/>
  <c r="E86" i="5"/>
  <c r="O85" i="5"/>
  <c r="H85" i="5"/>
  <c r="G85" i="5"/>
  <c r="E85" i="5"/>
  <c r="O84" i="5"/>
  <c r="H84" i="5"/>
  <c r="G84" i="5"/>
  <c r="E84" i="5"/>
  <c r="H83" i="5"/>
  <c r="G83" i="5"/>
  <c r="E83" i="5"/>
  <c r="H82" i="5"/>
  <c r="G82" i="5"/>
  <c r="E82" i="5"/>
  <c r="O81" i="5"/>
  <c r="H81" i="5"/>
  <c r="G81" i="5"/>
  <c r="E81" i="5"/>
  <c r="O80" i="5"/>
  <c r="H80" i="5"/>
  <c r="G80" i="5"/>
  <c r="E80" i="5"/>
  <c r="O79" i="5"/>
  <c r="H79" i="5"/>
  <c r="G79" i="5"/>
  <c r="E79" i="5"/>
  <c r="O78" i="5"/>
  <c r="H78" i="5"/>
  <c r="G78" i="5"/>
  <c r="E78" i="5"/>
  <c r="O77" i="5"/>
  <c r="H77" i="5"/>
  <c r="G77" i="5"/>
  <c r="E77" i="5"/>
  <c r="O76" i="5"/>
  <c r="H76" i="5"/>
  <c r="G76" i="5"/>
  <c r="E76" i="5"/>
  <c r="H75" i="5"/>
  <c r="G75" i="5"/>
  <c r="E75" i="5"/>
  <c r="H74" i="5"/>
  <c r="G74" i="5"/>
  <c r="E74" i="5"/>
  <c r="O73" i="5"/>
  <c r="H73" i="5"/>
  <c r="G73" i="5"/>
  <c r="E73" i="5"/>
  <c r="O72" i="5"/>
  <c r="H72" i="5"/>
  <c r="G72" i="5"/>
  <c r="E72" i="5"/>
  <c r="O71" i="5"/>
  <c r="H71" i="5"/>
  <c r="G71" i="5"/>
  <c r="E71" i="5"/>
  <c r="O70" i="5"/>
  <c r="H70" i="5"/>
  <c r="G70" i="5"/>
  <c r="E70" i="5"/>
  <c r="H69" i="5"/>
  <c r="G69" i="5"/>
  <c r="E69" i="5"/>
  <c r="H68" i="5"/>
  <c r="G68" i="5"/>
  <c r="E68" i="5"/>
  <c r="O67" i="5"/>
  <c r="H67" i="5"/>
  <c r="G67" i="5"/>
  <c r="E67" i="5"/>
  <c r="O66" i="5"/>
  <c r="H66" i="5"/>
  <c r="G66" i="5"/>
  <c r="E66" i="5"/>
  <c r="O65" i="5"/>
  <c r="H65" i="5"/>
  <c r="G65" i="5"/>
  <c r="E65" i="5"/>
  <c r="O64" i="5"/>
  <c r="H64" i="5"/>
  <c r="G64" i="5"/>
  <c r="E64" i="5"/>
  <c r="O63" i="5"/>
  <c r="H63" i="5"/>
  <c r="G63" i="5"/>
  <c r="E63" i="5"/>
  <c r="O62" i="5"/>
  <c r="H62" i="5"/>
  <c r="G62" i="5"/>
  <c r="E62" i="5"/>
  <c r="O61" i="5"/>
  <c r="H61" i="5"/>
  <c r="G61" i="5"/>
  <c r="E61" i="5"/>
  <c r="O60" i="5"/>
  <c r="H60" i="5"/>
  <c r="G60" i="5"/>
  <c r="E60" i="5"/>
  <c r="O59" i="5"/>
  <c r="H59" i="5"/>
  <c r="G59" i="5"/>
  <c r="E59" i="5"/>
  <c r="O58" i="5"/>
  <c r="H58" i="5"/>
  <c r="G58" i="5"/>
  <c r="E58" i="5"/>
  <c r="H57" i="5"/>
  <c r="G57" i="5"/>
  <c r="E57" i="5"/>
  <c r="H56" i="5"/>
  <c r="G56" i="5"/>
  <c r="E56" i="5"/>
  <c r="O55" i="5"/>
  <c r="H55" i="5"/>
  <c r="G55" i="5"/>
  <c r="E55" i="5"/>
  <c r="O54" i="5"/>
  <c r="H54" i="5"/>
  <c r="G54" i="5"/>
  <c r="E54" i="5"/>
  <c r="O53" i="5"/>
  <c r="H53" i="5"/>
  <c r="G53" i="5"/>
  <c r="E53" i="5"/>
  <c r="O52" i="5"/>
  <c r="H52" i="5"/>
  <c r="G52" i="5"/>
  <c r="E52" i="5"/>
  <c r="H51" i="5"/>
  <c r="G51" i="5"/>
  <c r="E51" i="5"/>
  <c r="H50" i="5"/>
  <c r="G50" i="5"/>
  <c r="E50" i="5"/>
  <c r="O49" i="5"/>
  <c r="H49" i="5"/>
  <c r="G49" i="5"/>
  <c r="E49" i="5"/>
  <c r="O48" i="5"/>
  <c r="H48" i="5"/>
  <c r="G48" i="5"/>
  <c r="E48" i="5"/>
  <c r="O47" i="5"/>
  <c r="H47" i="5"/>
  <c r="G47" i="5"/>
  <c r="E47" i="5"/>
  <c r="O46" i="5"/>
  <c r="H46" i="5"/>
  <c r="G46" i="5"/>
  <c r="E46" i="5"/>
  <c r="H45" i="5"/>
  <c r="G45" i="5"/>
  <c r="E45" i="5"/>
  <c r="H44" i="5"/>
  <c r="G44" i="5"/>
  <c r="E44" i="5"/>
  <c r="O43" i="5"/>
  <c r="H43" i="5"/>
  <c r="G43" i="5"/>
  <c r="E43" i="5"/>
  <c r="O42" i="5"/>
  <c r="H42" i="5"/>
  <c r="G42" i="5"/>
  <c r="E42" i="5"/>
  <c r="O41" i="5"/>
  <c r="H41" i="5"/>
  <c r="G41" i="5"/>
  <c r="E41" i="5"/>
  <c r="O40" i="5"/>
  <c r="H40" i="5"/>
  <c r="G40" i="5"/>
  <c r="E40" i="5"/>
  <c r="O39" i="5"/>
  <c r="H39" i="5"/>
  <c r="G39" i="5"/>
  <c r="E39" i="5"/>
  <c r="O38" i="5"/>
  <c r="H38" i="5"/>
  <c r="G38" i="5"/>
  <c r="E38" i="5"/>
  <c r="O37" i="5"/>
  <c r="H37" i="5"/>
  <c r="G37" i="5"/>
  <c r="E37" i="5"/>
  <c r="O36" i="5"/>
  <c r="H36" i="5"/>
  <c r="G36" i="5"/>
  <c r="E36" i="5"/>
  <c r="O35" i="5"/>
  <c r="H35" i="5"/>
  <c r="G35" i="5"/>
  <c r="E35" i="5"/>
  <c r="O34" i="5"/>
  <c r="H34" i="5"/>
  <c r="G34" i="5"/>
  <c r="E34" i="5"/>
  <c r="H33" i="5"/>
  <c r="G33" i="5"/>
  <c r="E33" i="5"/>
  <c r="H32" i="5"/>
  <c r="G32" i="5"/>
  <c r="E32" i="5"/>
  <c r="O31" i="5"/>
  <c r="H31" i="5"/>
  <c r="G31" i="5"/>
  <c r="E31" i="5"/>
  <c r="O30" i="5"/>
  <c r="H30" i="5"/>
  <c r="G30" i="5"/>
  <c r="E30" i="5"/>
  <c r="H29" i="5"/>
  <c r="G29" i="5"/>
  <c r="E29" i="5"/>
  <c r="H28" i="5"/>
  <c r="G28" i="5"/>
  <c r="E28" i="5"/>
  <c r="H27" i="5"/>
  <c r="G27" i="5"/>
  <c r="E27" i="5"/>
  <c r="H26" i="5"/>
  <c r="G26" i="5"/>
  <c r="E26" i="5"/>
  <c r="O25" i="5"/>
  <c r="H25" i="5"/>
  <c r="G25" i="5"/>
  <c r="E25" i="5"/>
  <c r="O24" i="5"/>
  <c r="H24" i="5"/>
  <c r="G24" i="5"/>
  <c r="E24" i="5"/>
  <c r="H23" i="5"/>
  <c r="G23" i="5"/>
  <c r="E23" i="5"/>
  <c r="H22" i="5"/>
  <c r="G22" i="5"/>
  <c r="E22" i="5"/>
  <c r="H21" i="5"/>
  <c r="G21" i="5"/>
  <c r="E21" i="5"/>
  <c r="H20" i="5"/>
  <c r="G20" i="5"/>
  <c r="E20" i="5"/>
  <c r="O19" i="5"/>
  <c r="H19" i="5"/>
  <c r="G19" i="5"/>
  <c r="E19" i="5"/>
  <c r="O18" i="5"/>
  <c r="H18" i="5"/>
  <c r="G18" i="5"/>
  <c r="E18" i="5"/>
  <c r="H17" i="5"/>
  <c r="G17" i="5"/>
  <c r="E17" i="5"/>
  <c r="H16" i="5"/>
  <c r="G16" i="5"/>
  <c r="E16" i="5"/>
  <c r="H15" i="5"/>
  <c r="G15" i="5"/>
  <c r="E15" i="5"/>
  <c r="H14" i="5"/>
  <c r="G14" i="5"/>
  <c r="E14" i="5"/>
  <c r="O13" i="5"/>
  <c r="H13" i="5"/>
  <c r="G13" i="5"/>
  <c r="E13" i="5"/>
  <c r="O12" i="5"/>
  <c r="H12" i="5"/>
  <c r="G12" i="5"/>
  <c r="E12" i="5"/>
  <c r="H11" i="5"/>
  <c r="G11" i="5"/>
  <c r="E11" i="5"/>
  <c r="H10" i="5"/>
  <c r="G10" i="5"/>
  <c r="E10" i="5"/>
  <c r="H9" i="5"/>
  <c r="G9" i="5"/>
  <c r="E9" i="5"/>
  <c r="H8" i="5"/>
  <c r="G8" i="5"/>
  <c r="E8" i="5"/>
  <c r="O7" i="5"/>
  <c r="H7" i="5"/>
  <c r="G7" i="5"/>
  <c r="E7" i="5"/>
  <c r="O6" i="5"/>
  <c r="H6" i="5"/>
  <c r="G6" i="5"/>
  <c r="E6" i="5"/>
  <c r="H5" i="5"/>
  <c r="G5" i="5"/>
  <c r="E5" i="5"/>
  <c r="H4" i="5"/>
  <c r="G4" i="5"/>
  <c r="E4" i="5"/>
  <c r="H3" i="5"/>
  <c r="G3" i="5"/>
  <c r="E3" i="5"/>
  <c r="H2" i="5"/>
  <c r="G2" i="5"/>
  <c r="E2" i="5"/>
  <c r="F9" i="6" l="1"/>
  <c r="F18" i="6"/>
  <c r="C9" i="8"/>
  <c r="C11" i="10"/>
  <c r="G16" i="10"/>
  <c r="F16" i="10"/>
  <c r="G24" i="10"/>
  <c r="F24" i="10"/>
  <c r="G32" i="10"/>
  <c r="F32" i="10"/>
  <c r="C12" i="10"/>
  <c r="E12" i="10" s="1"/>
  <c r="D9" i="8"/>
  <c r="D17" i="8" s="1"/>
  <c r="G17" i="10"/>
  <c r="F17" i="10"/>
  <c r="G25" i="10"/>
  <c r="F25" i="10"/>
  <c r="G7" i="10"/>
  <c r="F7" i="10"/>
  <c r="G18" i="10"/>
  <c r="F18" i="10"/>
  <c r="G26" i="10"/>
  <c r="F26" i="10"/>
  <c r="G8" i="10"/>
  <c r="F8" i="10"/>
  <c r="G19" i="10"/>
  <c r="F19" i="10"/>
  <c r="G35" i="10"/>
  <c r="F35" i="10"/>
  <c r="F13" i="10"/>
  <c r="G13" i="10"/>
  <c r="G33" i="10"/>
  <c r="F33" i="10"/>
  <c r="E11" i="11"/>
  <c r="G9" i="10"/>
  <c r="F9" i="10"/>
  <c r="G20" i="10"/>
  <c r="F20" i="10"/>
  <c r="G28" i="10"/>
  <c r="F28" i="10"/>
  <c r="G36" i="10"/>
  <c r="F36" i="10"/>
  <c r="F21" i="10"/>
  <c r="G21" i="10"/>
  <c r="G34" i="10"/>
  <c r="F34" i="10"/>
  <c r="G14" i="10"/>
  <c r="F14" i="10"/>
  <c r="G22" i="10"/>
  <c r="F22" i="10"/>
  <c r="G30" i="10"/>
  <c r="F30" i="10"/>
  <c r="F29" i="10"/>
  <c r="G29" i="10"/>
  <c r="G4" i="10"/>
  <c r="F4" i="10"/>
  <c r="G15" i="10"/>
  <c r="F15" i="10"/>
  <c r="G23" i="10"/>
  <c r="F23" i="10"/>
  <c r="G31" i="10"/>
  <c r="F31" i="10"/>
  <c r="C6" i="10"/>
  <c r="E6" i="10" s="1"/>
  <c r="C27" i="10"/>
  <c r="E27" i="10" s="1"/>
  <c r="C16" i="8"/>
  <c r="D11" i="10"/>
  <c r="D14" i="6"/>
  <c r="F14" i="6" s="1"/>
  <c r="D5" i="6"/>
  <c r="F5" i="6" s="1"/>
  <c r="D4" i="6"/>
  <c r="F4" i="6" s="1"/>
  <c r="D12" i="6"/>
  <c r="F12" i="6" s="1"/>
  <c r="E13" i="6"/>
  <c r="F13" i="6" s="1"/>
  <c r="C5" i="10"/>
  <c r="E5" i="10" s="1"/>
  <c r="F6" i="6"/>
  <c r="D3" i="6"/>
  <c r="F3" i="6" s="1"/>
  <c r="D11" i="6"/>
  <c r="F11" i="6" s="1"/>
  <c r="B9" i="9"/>
  <c r="B17" i="9" s="1"/>
  <c r="D37" i="10" s="1"/>
  <c r="B4" i="7" l="1"/>
  <c r="F5" i="10"/>
  <c r="G5" i="10"/>
  <c r="C39" i="10"/>
  <c r="E11" i="10"/>
  <c r="G6" i="10"/>
  <c r="F6" i="10"/>
  <c r="C10" i="10"/>
  <c r="E10" i="10" s="1"/>
  <c r="G27" i="10"/>
  <c r="F27" i="10"/>
  <c r="G12" i="10"/>
  <c r="F12" i="10"/>
  <c r="C17" i="8"/>
  <c r="B3" i="7"/>
  <c r="B5" i="7" s="1"/>
  <c r="B6" i="7" s="1"/>
  <c r="C38" i="10" l="1"/>
  <c r="E38" i="10" s="1"/>
  <c r="G10" i="10"/>
  <c r="F10" i="10"/>
  <c r="G11" i="10"/>
  <c r="F11" i="10"/>
  <c r="G39" i="10"/>
  <c r="F39" i="10"/>
  <c r="C37" i="10"/>
  <c r="E37" i="10" s="1"/>
  <c r="F37" i="10" l="1"/>
  <c r="G37" i="10"/>
  <c r="G38" i="10"/>
  <c r="F38" i="10"/>
</calcChain>
</file>

<file path=xl/sharedStrings.xml><?xml version="1.0" encoding="utf-8"?>
<sst xmlns="http://schemas.openxmlformats.org/spreadsheetml/2006/main" count="3516" uniqueCount="388">
  <si>
    <t>Trailhead Burger Co. — Financial &amp; Accounting Analysis Workbook</t>
  </si>
  <si>
    <t>A fictional 5-restaurant chain, built to practice the skills in the Whataburger Accounting Data Analyst posting.</t>
  </si>
  <si>
    <t>How this workbook is organized:</t>
  </si>
  <si>
    <t xml:space="preserve">  Chart_of_Accounts, Restaurants, Vendors  -&gt; reference/lookup tables</t>
  </si>
  <si>
    <t xml:space="preserve">  Transactions                              -&gt; the journal entry detail (every row is one debit OR credit line; each Transaction_ID has a matching debit and credit line, so debits always = credits)</t>
  </si>
  <si>
    <t xml:space="preserve">  General_Ledger                            -&gt; account balances rolled up from Transactions (SUMIF)</t>
  </si>
  <si>
    <t xml:space="preserve">  Trial_Balance                              -&gt; proves total debits = total credits across the whole ledger</t>
  </si>
  <si>
    <t xml:space="preserve">  Income_Statement                           -&gt; monthly Revenue -&gt; Gross Profit -&gt; Operating Income by company</t>
  </si>
  <si>
    <t xml:space="preserve">  Budget                                     -&gt; your editable budget assumptions (blue cells)</t>
  </si>
  <si>
    <t xml:space="preserve">  Variance_Analysis                          -&gt; Actual vs. Budget, $ and % variance, favorable/unfavorable flag</t>
  </si>
  <si>
    <t xml:space="preserve">  Restaurant_Drilldown                       -&gt; March food-cost variance broken out by restaurant (there's a planted anomaly here on purpose - see if you can find and explain it)</t>
  </si>
  <si>
    <t>Color legend:</t>
  </si>
  <si>
    <t xml:space="preserve">  Blue text     = hardcoded input (edit these freely, e.g. Budget tab)</t>
  </si>
  <si>
    <t xml:space="preserve">  Black text    = formula</t>
  </si>
  <si>
    <t xml:space="preserve">  Green text    = link pulling a value from another sheet</t>
  </si>
  <si>
    <t xml:space="preserve">  Yellow fill   = a cell you're meant to fill in or a key assumption</t>
  </si>
  <si>
    <t>A note on lookups:</t>
  </si>
  <si>
    <t xml:space="preserve">  The Account_Name / Restaurant_Name / Vendor_Name columns on the Transactions tab use INDEX/MATCH</t>
  </si>
  <si>
    <t xml:space="preserve">  instead of XLOOKUP, purely because the tool used to generate/verify this file doesn't evaluate XLOOKUP.</t>
  </si>
  <si>
    <t xml:space="preserve">  They do the exact same job. If you're working in real Excel/365, try rewriting a few of them as XLOOKUP</t>
  </si>
  <si>
    <t xml:space="preserve">  for practice - e.g. Account_Name could be:</t>
  </si>
  <si>
    <t xml:space="preserve">  =XLOOKUP(F2, Chart_of_Accounts!A:A, Chart_of_Accounts!B:B)</t>
  </si>
  <si>
    <t>Suggested first exercises (see the project plan we discussed in chat for the full roadmap):</t>
  </si>
  <si>
    <t xml:space="preserve">  1. Build a PivotTable from Transactions: Revenue by Restaurant by Month.</t>
  </si>
  <si>
    <t xml:space="preserve">  2. Add data validation checks - can you find any transaction row with a blank Account_ID?</t>
  </si>
  <si>
    <t xml:space="preserve">  3. On Restaurant_Drilldown, explain in one sentence why Restaurant #104's March food cost variance looks the way it does.</t>
  </si>
  <si>
    <t xml:space="preserve">  4. Try swapping the Budget assumptions and watch Variance_Analysis and Income_Statement react.</t>
  </si>
  <si>
    <t>Account_ID</t>
  </si>
  <si>
    <t>Account_Name</t>
  </si>
  <si>
    <t>Account_Type</t>
  </si>
  <si>
    <t>Normal_Balance</t>
  </si>
  <si>
    <t>1000</t>
  </si>
  <si>
    <t>Cash</t>
  </si>
  <si>
    <t>Asset</t>
  </si>
  <si>
    <t>Debit</t>
  </si>
  <si>
    <t>1010</t>
  </si>
  <si>
    <t>Accounts Receivable</t>
  </si>
  <si>
    <t>1020</t>
  </si>
  <si>
    <t>Inventory</t>
  </si>
  <si>
    <t>1030</t>
  </si>
  <si>
    <t>Equipment</t>
  </si>
  <si>
    <t>2000</t>
  </si>
  <si>
    <t>Accounts Payable</t>
  </si>
  <si>
    <t>Liability</t>
  </si>
  <si>
    <t>Credit</t>
  </si>
  <si>
    <t>2010</t>
  </si>
  <si>
    <t>Loan Payable</t>
  </si>
  <si>
    <t>3000</t>
  </si>
  <si>
    <t>Owner's Equity</t>
  </si>
  <si>
    <t>Equity</t>
  </si>
  <si>
    <t>4000</t>
  </si>
  <si>
    <t>Restaurant Sales</t>
  </si>
  <si>
    <t>Revenue</t>
  </si>
  <si>
    <t>4010</t>
  </si>
  <si>
    <t>Delivery Sales</t>
  </si>
  <si>
    <t>5000</t>
  </si>
  <si>
    <t>Food Cost</t>
  </si>
  <si>
    <t>Expense</t>
  </si>
  <si>
    <t>5010</t>
  </si>
  <si>
    <t>Labor</t>
  </si>
  <si>
    <t>5020</t>
  </si>
  <si>
    <t>Rent</t>
  </si>
  <si>
    <t>5030</t>
  </si>
  <si>
    <t>Utilities</t>
  </si>
  <si>
    <t>5040</t>
  </si>
  <si>
    <t>Delivery Fees</t>
  </si>
  <si>
    <t>5050</t>
  </si>
  <si>
    <t>CC Processing Fees</t>
  </si>
  <si>
    <t>5060</t>
  </si>
  <si>
    <t>Marketing</t>
  </si>
  <si>
    <t>5070</t>
  </si>
  <si>
    <t>Franchise Fees</t>
  </si>
  <si>
    <t>Restaurant_ID</t>
  </si>
  <si>
    <t>Restaurant_Name</t>
  </si>
  <si>
    <t>101</t>
  </si>
  <si>
    <t>Trailhead Burger Co. #101 - San Antonio, TX</t>
  </si>
  <si>
    <t>102</t>
  </si>
  <si>
    <t>Trailhead Burger Co. #102 - Austin, TX</t>
  </si>
  <si>
    <t>103</t>
  </si>
  <si>
    <t>Trailhead Burger Co. #103 - Corpus Christi, TX</t>
  </si>
  <si>
    <t>104</t>
  </si>
  <si>
    <t>Trailhead Burger Co. #104 - Laredo, TX</t>
  </si>
  <si>
    <t>105</t>
  </si>
  <si>
    <t>Trailhead Burger Co. #105 - Houston, TX</t>
  </si>
  <si>
    <t>Vendor_ID</t>
  </si>
  <si>
    <t>Vendor_Name</t>
  </si>
  <si>
    <t>V01</t>
  </si>
  <si>
    <t>Gulf Coast Meat Supply</t>
  </si>
  <si>
    <t>V02</t>
  </si>
  <si>
    <t>Fresh Produce Partners</t>
  </si>
  <si>
    <t>V03</t>
  </si>
  <si>
    <t>Lone Star Beverage Distributing</t>
  </si>
  <si>
    <t>V04</t>
  </si>
  <si>
    <t>Southwest Packaging Co.</t>
  </si>
  <si>
    <t>V05</t>
  </si>
  <si>
    <t>QuickDash Delivery Platform</t>
  </si>
  <si>
    <t>V07</t>
  </si>
  <si>
    <t>CityWide Utilities</t>
  </si>
  <si>
    <t>V08</t>
  </si>
  <si>
    <t>Prime Property Management</t>
  </si>
  <si>
    <t>V09</t>
  </si>
  <si>
    <t>BrightSign Marketing Agency</t>
  </si>
  <si>
    <t>V10</t>
  </si>
  <si>
    <t>Trailhead Burger Co. - Corporate</t>
  </si>
  <si>
    <t>Line_ID</t>
  </si>
  <si>
    <t>Transaction_ID</t>
  </si>
  <si>
    <t>Date</t>
  </si>
  <si>
    <t>Description</t>
  </si>
  <si>
    <t>Payment_Method</t>
  </si>
  <si>
    <t>Channel</t>
  </si>
  <si>
    <t>Department</t>
  </si>
  <si>
    <t>T0001</t>
  </si>
  <si>
    <t>Owner capital contribution</t>
  </si>
  <si>
    <t>N/A</t>
  </si>
  <si>
    <t>Corporate</t>
  </si>
  <si>
    <t>Finance</t>
  </si>
  <si>
    <t>T0002</t>
  </si>
  <si>
    <t>Proceeds from equipment loan</t>
  </si>
  <si>
    <t>T0003</t>
  </si>
  <si>
    <t>Purchase of kitchen equipment</t>
  </si>
  <si>
    <t>Operations</t>
  </si>
  <si>
    <t>T0004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</si>
  <si>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</si>
  <si>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</si>
  <si>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</si>
  <si>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</si>
  <si>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</si>
  <si>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</si>
  <si>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</si>
  <si>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</si>
  <si>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</si>
  <si>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</si>
  <si>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</si>
  <si>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</si>
  <si>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Weekly dine-in &amp; drive-thru sales</t>
  </si>
  <si>
    <t>Dine-In</t>
  </si>
  <si>
    <t>Restaurant Ops</t>
  </si>
  <si>
    <t>T0017</t>
  </si>
  <si>
    <t>Delivery sales via QuickDash</t>
  </si>
  <si>
    <t>Delivery Platform Settlement</t>
  </si>
  <si>
    <t>Delivery</t>
  </si>
  <si>
    <t>T0018</t>
  </si>
  <si>
    <t>Collection of delivery platform settlement</t>
  </si>
  <si>
    <t>T0019</t>
  </si>
  <si>
    <t>Delivery platform commission fee</t>
  </si>
  <si>
    <t>T0020</t>
  </si>
  <si>
    <t>Food &amp; beverage inventory purchase</t>
  </si>
  <si>
    <t>Supply Chain</t>
  </si>
  <si>
    <t>T0021</t>
  </si>
  <si>
    <t>Cost of food sold - monthly usage</t>
  </si>
  <si>
    <t>T0022</t>
  </si>
  <si>
    <t>Bi-weekly payroll</t>
  </si>
  <si>
    <t>Human Resources</t>
  </si>
  <si>
    <t>T0023</t>
  </si>
  <si>
    <t>Monthly rent payment</t>
  </si>
  <si>
    <t>T0024</t>
  </si>
  <si>
    <t>Monthly utilities payment</t>
  </si>
  <si>
    <t>Facilities</t>
  </si>
  <si>
    <t>T0025</t>
  </si>
  <si>
    <t>Credit card processing fees</t>
  </si>
  <si>
    <t>T0026</t>
  </si>
  <si>
    <t>Local store marketing spend</t>
  </si>
  <si>
    <t>T0027</t>
  </si>
  <si>
    <t>Monthly franchise fee to corporate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</si>
  <si>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</si>
  <si>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</si>
  <si>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</si>
  <si>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</si>
  <si>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</si>
  <si>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</si>
  <si>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</si>
  <si>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</si>
  <si>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</si>
  <si>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</si>
  <si>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</si>
  <si>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</si>
  <si>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</si>
  <si>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Payment on vendor account payable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</si>
  <si>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</si>
  <si>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</si>
  <si>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</si>
  <si>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</si>
  <si>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</si>
  <si>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</si>
  <si>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</si>
  <si>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</si>
  <si>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</si>
  <si>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</si>
  <si>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</si>
  <si>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</si>
  <si>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</si>
  <si>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</si>
  <si>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</si>
  <si>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</si>
  <si>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</si>
  <si>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</si>
  <si>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</si>
  <si>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</si>
  <si>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</si>
  <si>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</si>
  <si>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</si>
  <si>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</si>
  <si>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</si>
  <si>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</si>
  <si>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</si>
  <si>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</si>
  <si>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</si>
  <si>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</si>
  <si>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</si>
  <si>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</si>
  <si>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</si>
  <si>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</si>
  <si>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</si>
  <si>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</si>
  <si>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</si>
  <si>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</si>
  <si>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</si>
  <si>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</si>
  <si>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</si>
  <si>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</si>
  <si>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</si>
  <si>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</si>
  <si>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</si>
  <si>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</si>
  <si>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</si>
  <si>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</si>
  <si>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</si>
  <si>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</si>
  <si>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</si>
  <si>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</si>
  <si>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</si>
  <si>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</si>
  <si>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</si>
  <si>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</si>
  <si>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</si>
  <si>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</si>
  <si>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</si>
  <si>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</si>
  <si>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</si>
  <si>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</si>
  <si>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</si>
  <si>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</si>
  <si>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</si>
  <si>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</si>
  <si>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</si>
  <si>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</si>
  <si>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</si>
  <si>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T0110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</si>
  <si>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</si>
  <si>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</si>
  <si>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</si>
  <si>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</si>
  <si>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</si>
  <si>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</si>
  <si>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</si>
  <si>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</si>
  <si>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</si>
  <si>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</si>
  <si>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</si>
  <si>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</si>
  <si>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</si>
  <si>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</si>
  <si>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</si>
  <si>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</si>
  <si>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</si>
  <si>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</si>
  <si>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</si>
  <si>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</si>
  <si>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</si>
  <si>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</si>
  <si>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</si>
  <si>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</si>
  <si>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</si>
  <si>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</si>
  <si>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</si>
  <si>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</si>
  <si>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</si>
  <si>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</si>
  <si>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</si>
  <si>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</si>
  <si>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</si>
  <si>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</si>
  <si>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</si>
  <si>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</si>
  <si>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</si>
  <si>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</si>
  <si>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</si>
  <si>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</si>
  <si>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T0151</t>
  </si>
  <si>
    <t>T0152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</si>
  <si>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</si>
  <si>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</si>
  <si>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</si>
  <si>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</si>
  <si>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</si>
  <si>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</si>
  <si>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</si>
  <si>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</si>
  <si>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T0161</t>
  </si>
  <si>
    <t>T0162</t>
  </si>
  <si>
    <t>T0163</t>
  </si>
  <si>
    <t>T0164</t>
  </si>
  <si>
    <t>T0165</t>
  </si>
  <si>
    <t>T0166</t>
  </si>
  <si>
    <t>T0167</t>
  </si>
  <si>
    <t>T0168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</si>
  <si>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</si>
  <si>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</si>
  <si>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</si>
  <si>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</si>
  <si>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</si>
  <si>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</si>
  <si>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</si>
  <si>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</si>
  <si>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</si>
  <si>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</si>
  <si>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</si>
  <si>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T0180</t>
  </si>
  <si>
    <t>T0181</t>
  </si>
  <si>
    <t>T0182</t>
  </si>
  <si>
    <t>T0183</t>
  </si>
  <si>
    <t>T0184</t>
  </si>
  <si>
    <t>T0185</t>
  </si>
  <si>
    <t>T0186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</si>
  <si>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</si>
  <si>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</si>
  <si>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</si>
  <si>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</si>
  <si>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</si>
  <si>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</si>
  <si>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</si>
  <si>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</si>
  <si>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</si>
  <si>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</si>
  <si>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</si>
  <si>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</si>
  <si>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T0199</t>
  </si>
  <si>
    <t>T0200</t>
  </si>
  <si>
    <t>T0201</t>
  </si>
  <si>
    <t>T0202</t>
  </si>
  <si>
    <t>T0203</t>
  </si>
  <si>
    <t>T0204</t>
  </si>
  <si>
    <t>T0205</t>
  </si>
  <si>
    <t>Total_Debits</t>
  </si>
  <si>
    <t>Total_Credits</t>
  </si>
  <si>
    <t>Net_Balance</t>
  </si>
  <si>
    <t>Trial Balance Check</t>
  </si>
  <si>
    <t>Total Debits (all accounts)</t>
  </si>
  <si>
    <t>Total Credits (all accounts)</t>
  </si>
  <si>
    <t>Difference (should be $0)</t>
  </si>
  <si>
    <t>Status</t>
  </si>
  <si>
    <t>Trailhead Burger Co. — Monthly Income Statement (All Restaurants)</t>
  </si>
  <si>
    <t>Line Item</t>
  </si>
  <si>
    <t>January 2026</t>
  </si>
  <si>
    <t>February 2026</t>
  </si>
  <si>
    <t>March 2026</t>
  </si>
  <si>
    <t>TOTAL REVENUE</t>
  </si>
  <si>
    <t>GROSS PROFIT</t>
  </si>
  <si>
    <t>TOTAL OPERATING EXPENSES</t>
  </si>
  <si>
    <t>OPERATING INCOME</t>
  </si>
  <si>
    <t>Operating Margin %</t>
  </si>
  <si>
    <t>Budget Assumptions (edit the blue cells)</t>
  </si>
  <si>
    <t>Actual vs. Budget Variance</t>
  </si>
  <si>
    <t>Month</t>
  </si>
  <si>
    <t>Actual</t>
  </si>
  <si>
    <t>Budget</t>
  </si>
  <si>
    <t>$ Variance</t>
  </si>
  <si>
    <t>% Variance</t>
  </si>
  <si>
    <t>Favorable / Unfavorable</t>
  </si>
  <si>
    <t>March 2026 Food Cost Variance by Restaurant</t>
  </si>
  <si>
    <t>Something looks off in the fleet-wide food cost variance for March. Use this breakdown to find which restaurant is driving it.</t>
  </si>
  <si>
    <t>March Revenue</t>
  </si>
  <si>
    <t>March Food Cost</t>
  </si>
  <si>
    <t>Food Cost % of Revenue</t>
  </si>
  <si>
    <t>Fleet Average Food Cost %</t>
  </si>
  <si>
    <t>Row Labels</t>
  </si>
  <si>
    <t>Grand Total</t>
  </si>
  <si>
    <t>Sum of Credit</t>
  </si>
  <si>
    <t>Jan</t>
  </si>
  <si>
    <t>Feb</t>
  </si>
  <si>
    <t>Mar</t>
  </si>
  <si>
    <t>Column Labels</t>
  </si>
  <si>
    <t>(Multiple Items)</t>
  </si>
  <si>
    <t>Sum of Debit</t>
  </si>
  <si>
    <t>Total Sum of Credit</t>
  </si>
  <si>
    <t>Total Sum of Debit</t>
  </si>
  <si>
    <t>Total Sum of Food_Cost_Pct</t>
  </si>
  <si>
    <t>Sum of Food_Cost_Pct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</si>
</sst>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\$#,##0;&quot;($&quot;#,##0\);\-"/>
    <numFmt numFmtId="166" formatCode="0.0%;\(0.0%\);\-"/>
    <numFmt numFmtId="167" formatCode="0.0%"/>
  </numFmts>
  <fonts count="9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10"/>
      <color rgb="FF595959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sz val="10"/>
      <color rgb="FF008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7" fillId="0" borderId="1" xfId="0" applyFont="1" applyBorder="1"/>
    <xf numFmtId="164" fontId="7" fillId="0" borderId="1" xfId="0" applyNumberFormat="1" applyFont="1" applyBorder="1"/>
    <xf numFmtId="165" fontId="6" fillId="0" borderId="1" xfId="0" applyNumberFormat="1" applyFont="1" applyBorder="1"/>
    <xf numFmtId="0" fontId="8" fillId="0" borderId="1" xfId="0" applyFont="1" applyBorder="1"/>
    <xf numFmtId="165" fontId="7" fillId="0" borderId="1" xfId="0" applyNumberFormat="1" applyFont="1" applyBorder="1"/>
    <xf numFmtId="165" fontId="7" fillId="0" borderId="0" xfId="0" applyNumberFormat="1" applyFont="1"/>
    <xf numFmtId="0" fontId="4" fillId="0" borderId="1" xfId="0" applyFont="1" applyBorder="1"/>
    <xf numFmtId="165" fontId="4" fillId="0" borderId="1" xfId="0" applyNumberFormat="1" applyFont="1" applyBorder="1"/>
    <xf numFmtId="166" fontId="4" fillId="0" borderId="1" xfId="0" applyNumberFormat="1" applyFont="1" applyBorder="1"/>
    <xf numFmtId="165" fontId="8" fillId="0" borderId="1" xfId="0" applyNumberFormat="1" applyFont="1" applyBorder="1"/>
    <xf numFmtId="166" fontId="7" fillId="0" borderId="1" xfId="0" applyNumberFormat="1" applyFont="1" applyBorder="1"/>
    <xf numFmtId="0" fontId="7" fillId="3" borderId="1" xfId="0" applyFont="1" applyFill="1" applyBorder="1"/>
    <xf numFmtId="165" fontId="7" fillId="3" borderId="1" xfId="0" applyNumberFormat="1" applyFont="1" applyFill="1" applyBorder="1"/>
    <xf numFmtId="166" fontId="7" fillId="3" borderId="1" xfId="0" applyNumberFormat="1" applyFont="1" applyFill="1" applyBorder="1"/>
    <xf numFmtId="166" fontId="4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o Ortiz" refreshedDate="46280.690850462961" createdVersion="8" refreshedVersion="8" minRefreshableVersion="3" recordCount="410" xr:uid="{694BFA54-CDB5-4D35-8B59-A99C8602A4A5}">
  <cacheSource type="worksheet">
    <worksheetSource ref="A1:P411" sheet="Transactions"/>
  </cacheSource>
  <cacheFields count="19">
    <cacheField name="Line_ID" numFmtId="0">
      <sharedItems containsSemiMixedTypes="0" containsString="0" containsNumber="1" containsInteger="1" minValue="1" maxValue="205"/>
    </cacheField>
    <cacheField name="Transaction_ID" numFmtId="0">
      <sharedItems/>
    </cacheField>
    <cacheField name="Date" numFmtId="164">
      <sharedItems containsSemiMixedTypes="0" containsNonDate="0" containsDate="1" containsString="0" minDate="2026-01-01T00:00:00" maxDate="2026-03-31T00:00:00" count="32">
        <d v="2026-01-02T00:00:00"/>
        <d v="2026-01-05T00:00:00"/>
        <d v="2026-01-07T00:00:00"/>
        <d v="2026-01-10T00:00:00"/>
        <d v="2026-01-08T00:00:00"/>
        <d v="2026-01-28T00:00:00"/>
        <d v="2026-01-15T00:00:00"/>
        <d v="2026-01-01T00:00:00"/>
        <d v="2026-01-20T00:00:00"/>
        <d v="2026-01-12T00:00:00"/>
        <d v="2026-01-30T00:00:00"/>
        <d v="2026-02-05T00:00:00"/>
        <d v="2026-02-07T00:00:00"/>
        <d v="2026-02-10T00:00:00"/>
        <d v="2026-02-08T00:00:00"/>
        <d v="2026-02-28T00:00:00"/>
        <d v="2026-02-15T00:00:00"/>
        <d v="2026-02-01T00:00:00"/>
        <d v="2026-02-20T00:00:00"/>
        <d v="2026-02-12T00:00:00"/>
        <d v="2026-02-18T00:00:00"/>
        <d v="2026-03-05T00:00:00"/>
        <d v="2026-03-07T00:00:00"/>
        <d v="2026-03-10T00:00:00"/>
        <d v="2026-03-08T00:00:00"/>
        <d v="2026-03-28T00:00:00"/>
        <d v="2026-03-15T00:00:00"/>
        <d v="2026-03-01T00:00:00"/>
        <d v="2026-03-20T00:00:00"/>
        <d v="2026-03-12T00:00:00"/>
        <d v="2026-03-30T00:00:00"/>
        <d v="2026-03-18T00:00:00"/>
      </sharedItems>
      <fieldGroup par="17"/>
    </cacheField>
    <cacheField name="Restaurant_ID" numFmtId="0">
      <sharedItems/>
    </cacheField>
    <cacheField name="Restaurant_Name" numFmtId="0">
      <sharedItems count="5">
        <s v="Trailhead Burger Co. #101 - San Antonio, TX"/>
        <s v="Trailhead Burger Co. #102 - Austin, TX"/>
        <s v="Trailhead Burger Co. #103 - Corpus Christi, TX"/>
        <s v="Trailhead Burger Co. #104 - Laredo, TX"/>
        <s v="Trailhead Burger Co. #105 - Houston, TX"/>
      </sharedItems>
    </cacheField>
    <cacheField name="Account_ID" numFmtId="0">
      <sharedItems/>
    </cacheField>
    <cacheField name="Account_Name" numFmtId="0">
      <sharedItems count="17">
        <s v="Cash"/>
        <s v="Owner's Equity"/>
        <s v="Loan Payable"/>
        <s v="Equipment"/>
        <s v="Restaurant Sales"/>
        <s v="Accounts Receivable"/>
        <s v="Delivery Sales"/>
        <s v="Delivery Fees"/>
        <s v="Inventory"/>
        <s v="Accounts Payable"/>
        <s v="Food Cost"/>
        <s v="Labor"/>
        <s v="Rent"/>
        <s v="Utilities"/>
        <s v="CC Processing Fees"/>
        <s v="Marketing"/>
        <s v="Franchise Fees"/>
      </sharedItems>
    </cacheField>
    <cacheField name="Account_Type" numFmtId="0">
      <sharedItems/>
    </cacheField>
    <cacheField name="Debit" numFmtId="165">
      <sharedItems containsString="0" containsBlank="1" containsNumber="1" minValue="2100" maxValue="114400"/>
    </cacheField>
    <cacheField name="Credit" numFmtId="165">
      <sharedItems containsString="0" containsBlank="1" containsNumber="1" minValue="2100" maxValue="114400"/>
    </cacheField>
    <cacheField name="Description" numFmtId="0">
      <sharedItems/>
    </cacheField>
    <cacheField name="Payment_Method" numFmtId="0">
      <sharedItems/>
    </cacheField>
    <cacheField name="Channel" numFmtId="0">
      <sharedItems/>
    </cacheField>
    <cacheField name="Vendor_ID" numFmtId="0">
      <sharedItems containsBlank="1"/>
    </cacheField>
    <cacheField name="Vendor_Name" numFmtId="0">
      <sharedItems containsBlank="1"/>
    </cacheField>
    <cacheField name="Department" numFmtId="0">
      <sharedItems/>
    </cacheField>
    <cacheField name="Days (Date)" numFmtId="0" databaseField="0">
      <fieldGroup base="2">
        <rangePr groupBy="days" startDate="2026-01-01T00:00:00" endDate="2026-03-31T00:00:00"/>
        <groupItems count="368">
          <s v="&lt;1/1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/31/2026"/>
        </groupItems>
      </fieldGroup>
    </cacheField>
    <cacheField name="Months (Date)" numFmtId="0" databaseField="0">
      <fieldGroup base="2">
        <rangePr groupBy="months" startDate="2026-01-01T00:00:00" endDate="2026-03-31T00:00:00"/>
        <groupItems count="14">
          <s v="&lt;1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31/2026"/>
        </groupItems>
      </fieldGroup>
    </cacheField>
    <cacheField name="Food_Cost_Pct" numFmtId="0" formula="Debit /Credit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0">
  <r>
    <n v="1"/>
    <s v="T0001"/>
    <x v="0"/>
    <s v="101"/>
    <x v="0"/>
    <s v="1000"/>
    <x v="0"/>
    <s v="Asset"/>
    <n v="60000"/>
    <m/>
    <s v="Owner capital contribution"/>
    <s v="N/A"/>
    <s v="Corporate"/>
    <m/>
    <m/>
    <s v="Finance"/>
  </r>
  <r>
    <n v="1"/>
    <s v="T0001"/>
    <x v="0"/>
    <s v="101"/>
    <x v="0"/>
    <s v="3000"/>
    <x v="1"/>
    <s v="Equity"/>
    <m/>
    <n v="60000"/>
    <s v="Owner capital contribution"/>
    <s v="N/A"/>
    <s v="Corporate"/>
    <m/>
    <m/>
    <s v="Finance"/>
  </r>
  <r>
    <n v="2"/>
    <s v="T0002"/>
    <x v="0"/>
    <s v="101"/>
    <x v="0"/>
    <s v="1000"/>
    <x v="0"/>
    <s v="Asset"/>
    <n v="40000"/>
    <m/>
    <s v="Proceeds from equipment loan"/>
    <s v="N/A"/>
    <s v="Corporate"/>
    <m/>
    <m/>
    <s v="Finance"/>
  </r>
  <r>
    <n v="2"/>
    <s v="T0002"/>
    <x v="0"/>
    <s v="101"/>
    <x v="0"/>
    <s v="2010"/>
    <x v="2"/>
    <s v="Liability"/>
    <m/>
    <n v="40000"/>
    <s v="Proceeds from equipment loan"/>
    <s v="N/A"/>
    <s v="Corporate"/>
    <m/>
    <m/>
    <s v="Finance"/>
  </r>
  <r>
    <n v="3"/>
    <s v="T0003"/>
    <x v="0"/>
    <s v="101"/>
    <x v="0"/>
    <s v="1030"/>
    <x v="3"/>
    <s v="Asset"/>
    <n v="95000"/>
    <m/>
    <s v="Purchase of kitchen equipment"/>
    <s v="N/A"/>
    <s v="Corporate"/>
    <s v="V10"/>
    <s v="Trailhead Burger Co. - Corporate"/>
    <s v="Operations"/>
  </r>
  <r>
    <n v="3"/>
    <s v="T0003"/>
    <x v="0"/>
    <s v="101"/>
    <x v="0"/>
    <s v="1000"/>
    <x v="0"/>
    <s v="Asset"/>
    <m/>
    <n v="95000"/>
    <s v="Purchase of kitchen equipment"/>
    <s v="N/A"/>
    <s v="Corporate"/>
    <s v="V10"/>
    <s v="Trailhead Burger Co. - Corporate"/>
    <s v="Operations"/>
  </r>
  <r>
    <n v="4"/>
    <s v="T0004"/>
    <x v="0"/>
    <s v="102"/>
    <x v="1"/>
    <s v="1000"/>
    <x v="0"/>
    <s v="Asset"/>
    <n v="60000"/>
    <m/>
    <s v="Owner capital contribution"/>
    <s v="N/A"/>
    <s v="Corporate"/>
    <m/>
    <m/>
    <s v="Finance"/>
  </r>
  <r>
    <n v="4"/>
    <s v="T0004"/>
    <x v="0"/>
    <s v="102"/>
    <x v="1"/>
    <s v="3000"/>
    <x v="1"/>
    <s v="Equity"/>
    <m/>
    <n v="60000"/>
    <s v="Owner capital contribution"/>
    <s v="N/A"/>
    <s v="Corporate"/>
    <m/>
    <m/>
    <s v="Finance"/>
  </r>
  <r>
    <n v="5"/>
    <s v="T0005"/>
    <x v="0"/>
    <s v="102"/>
    <x v="1"/>
    <s v="1000"/>
    <x v="0"/>
    <s v="Asset"/>
    <n v="40000"/>
    <m/>
    <s v="Proceeds from equipment loan"/>
    <s v="N/A"/>
    <s v="Corporate"/>
    <m/>
    <m/>
    <s v="Finance"/>
  </r>
  <r>
    <n v="5"/>
    <s v="T0005"/>
    <x v="0"/>
    <s v="102"/>
    <x v="1"/>
    <s v="2010"/>
    <x v="2"/>
    <s v="Liability"/>
    <m/>
    <n v="40000"/>
    <s v="Proceeds from equipment loan"/>
    <s v="N/A"/>
    <s v="Corporate"/>
    <m/>
    <m/>
    <s v="Finance"/>
  </r>
  <r>
    <n v="6"/>
    <s v="T0006"/>
    <x v="0"/>
    <s v="102"/>
    <x v="1"/>
    <s v="1030"/>
    <x v="3"/>
    <s v="Asset"/>
    <n v="95000"/>
    <m/>
    <s v="Purchase of kitchen equipment"/>
    <s v="N/A"/>
    <s v="Corporate"/>
    <s v="V10"/>
    <s v="Trailhead Burger Co. - Corporate"/>
    <s v="Operations"/>
  </r>
  <r>
    <n v="6"/>
    <s v="T0006"/>
    <x v="0"/>
    <s v="102"/>
    <x v="1"/>
    <s v="1000"/>
    <x v="0"/>
    <s v="Asset"/>
    <m/>
    <n v="95000"/>
    <s v="Purchase of kitchen equipment"/>
    <s v="N/A"/>
    <s v="Corporate"/>
    <s v="V10"/>
    <s v="Trailhead Burger Co. - Corporate"/>
    <s v="Operations"/>
  </r>
  <r>
    <n v="7"/>
    <s v="T0007"/>
    <x v="0"/>
    <s v="103"/>
    <x v="2"/>
    <s v="1000"/>
    <x v="0"/>
    <s v="Asset"/>
    <n v="60000"/>
    <m/>
    <s v="Owner capital contribution"/>
    <s v="N/A"/>
    <s v="Corporate"/>
    <m/>
    <m/>
    <s v="Finance"/>
  </r>
  <r>
    <n v="7"/>
    <s v="T0007"/>
    <x v="0"/>
    <s v="103"/>
    <x v="2"/>
    <s v="3000"/>
    <x v="1"/>
    <s v="Equity"/>
    <m/>
    <n v="60000"/>
    <s v="Owner capital contribution"/>
    <s v="N/A"/>
    <s v="Corporate"/>
    <m/>
    <m/>
    <s v="Finance"/>
  </r>
  <r>
    <n v="8"/>
    <s v="T0008"/>
    <x v="0"/>
    <s v="103"/>
    <x v="2"/>
    <s v="1000"/>
    <x v="0"/>
    <s v="Asset"/>
    <n v="40000"/>
    <m/>
    <s v="Proceeds from equipment loan"/>
    <s v="N/A"/>
    <s v="Corporate"/>
    <m/>
    <m/>
    <s v="Finance"/>
  </r>
  <r>
    <n v="8"/>
    <s v="T0008"/>
    <x v="0"/>
    <s v="103"/>
    <x v="2"/>
    <s v="2010"/>
    <x v="2"/>
    <s v="Liability"/>
    <m/>
    <n v="40000"/>
    <s v="Proceeds from equipment loan"/>
    <s v="N/A"/>
    <s v="Corporate"/>
    <m/>
    <m/>
    <s v="Finance"/>
  </r>
  <r>
    <n v="9"/>
    <s v="T0009"/>
    <x v="0"/>
    <s v="103"/>
    <x v="2"/>
    <s v="1030"/>
    <x v="3"/>
    <s v="Asset"/>
    <n v="95000"/>
    <m/>
    <s v="Purchase of kitchen equipment"/>
    <s v="N/A"/>
    <s v="Corporate"/>
    <s v="V10"/>
    <s v="Trailhead Burger Co. - Corporate"/>
    <s v="Operations"/>
  </r>
  <r>
    <n v="9"/>
    <s v="T0009"/>
    <x v="0"/>
    <s v="103"/>
    <x v="2"/>
    <s v="1000"/>
    <x v="0"/>
    <s v="Asset"/>
    <m/>
    <n v="95000"/>
    <s v="Purchase of kitchen equipment"/>
    <s v="N/A"/>
    <s v="Corporate"/>
    <s v="V10"/>
    <s v="Trailhead Burger Co. - Corporate"/>
    <s v="Operations"/>
  </r>
  <r>
    <n v="10"/>
    <s v="T0010"/>
    <x v="0"/>
    <s v="104"/>
    <x v="3"/>
    <s v="1000"/>
    <x v="0"/>
    <s v="Asset"/>
    <n v="60000"/>
    <m/>
    <s v="Owner capital contribution"/>
    <s v="N/A"/>
    <s v="Corporate"/>
    <m/>
    <m/>
    <s v="Finance"/>
  </r>
  <r>
    <n v="10"/>
    <s v="T0010"/>
    <x v="0"/>
    <s v="104"/>
    <x v="3"/>
    <s v="3000"/>
    <x v="1"/>
    <s v="Equity"/>
    <m/>
    <n v="60000"/>
    <s v="Owner capital contribution"/>
    <s v="N/A"/>
    <s v="Corporate"/>
    <m/>
    <m/>
    <s v="Finance"/>
  </r>
  <r>
    <n v="11"/>
    <s v="T0011"/>
    <x v="0"/>
    <s v="104"/>
    <x v="3"/>
    <s v="1000"/>
    <x v="0"/>
    <s v="Asset"/>
    <n v="40000"/>
    <m/>
    <s v="Proceeds from equipment loan"/>
    <s v="N/A"/>
    <s v="Corporate"/>
    <m/>
    <m/>
    <s v="Finance"/>
  </r>
  <r>
    <n v="11"/>
    <s v="T0011"/>
    <x v="0"/>
    <s v="104"/>
    <x v="3"/>
    <s v="2010"/>
    <x v="2"/>
    <s v="Liability"/>
    <m/>
    <n v="40000"/>
    <s v="Proceeds from equipment loan"/>
    <s v="N/A"/>
    <s v="Corporate"/>
    <m/>
    <m/>
    <s v="Finance"/>
  </r>
  <r>
    <n v="12"/>
    <s v="T0012"/>
    <x v="0"/>
    <s v="104"/>
    <x v="3"/>
    <s v="1030"/>
    <x v="3"/>
    <s v="Asset"/>
    <n v="95000"/>
    <m/>
    <s v="Purchase of kitchen equipment"/>
    <s v="N/A"/>
    <s v="Corporate"/>
    <s v="V10"/>
    <s v="Trailhead Burger Co. - Corporate"/>
    <s v="Operations"/>
  </r>
  <r>
    <n v="12"/>
    <s v="T0012"/>
    <x v="0"/>
    <s v="104"/>
    <x v="3"/>
    <s v="1000"/>
    <x v="0"/>
    <s v="Asset"/>
    <m/>
    <n v="95000"/>
    <s v="Purchase of kitchen equipment"/>
    <s v="N/A"/>
    <s v="Corporate"/>
    <s v="V10"/>
    <s v="Trailhead Burger Co. - Corporate"/>
    <s v="Operations"/>
  </r>
  <r>
    <n v="13"/>
    <s v="T0013"/>
    <x v="0"/>
    <s v="105"/>
    <x v="4"/>
    <s v="1000"/>
    <x v="0"/>
    <s v="Asset"/>
    <n v="60000"/>
    <m/>
    <s v="Owner capital contribution"/>
    <s v="N/A"/>
    <s v="Corporate"/>
    <m/>
    <m/>
    <s v="Finance"/>
  </r>
  <r>
    <n v="13"/>
    <s v="T0013"/>
    <x v="0"/>
    <s v="105"/>
    <x v="4"/>
    <s v="3000"/>
    <x v="1"/>
    <s v="Equity"/>
    <m/>
    <n v="60000"/>
    <s v="Owner capital contribution"/>
    <s v="N/A"/>
    <s v="Corporate"/>
    <m/>
    <m/>
    <s v="Finance"/>
  </r>
  <r>
    <n v="14"/>
    <s v="T0014"/>
    <x v="0"/>
    <s v="105"/>
    <x v="4"/>
    <s v="1000"/>
    <x v="0"/>
    <s v="Asset"/>
    <n v="40000"/>
    <m/>
    <s v="Proceeds from equipment loan"/>
    <s v="N/A"/>
    <s v="Corporate"/>
    <m/>
    <m/>
    <s v="Finance"/>
  </r>
  <r>
    <n v="14"/>
    <s v="T0014"/>
    <x v="0"/>
    <s v="105"/>
    <x v="4"/>
    <s v="2010"/>
    <x v="2"/>
    <s v="Liability"/>
    <m/>
    <n v="40000"/>
    <s v="Proceeds from equipment loan"/>
    <s v="N/A"/>
    <s v="Corporate"/>
    <m/>
    <m/>
    <s v="Finance"/>
  </r>
  <r>
    <n v="15"/>
    <s v="T0015"/>
    <x v="0"/>
    <s v="105"/>
    <x v="4"/>
    <s v="1030"/>
    <x v="3"/>
    <s v="Asset"/>
    <n v="95000"/>
    <m/>
    <s v="Purchase of kitchen equipment"/>
    <s v="N/A"/>
    <s v="Corporate"/>
    <s v="V10"/>
    <s v="Trailhead Burger Co. - Corporate"/>
    <s v="Operations"/>
  </r>
  <r>
    <n v="15"/>
    <s v="T0015"/>
    <x v="0"/>
    <s v="105"/>
    <x v="4"/>
    <s v="1000"/>
    <x v="0"/>
    <s v="Asset"/>
    <m/>
    <n v="95000"/>
    <s v="Purchase of kitchen equipment"/>
    <s v="N/A"/>
    <s v="Corporate"/>
    <s v="V10"/>
    <s v="Trailhead Burger Co. - Corporate"/>
    <s v="Operations"/>
  </r>
  <r>
    <n v="16"/>
    <s v="T0016"/>
    <x v="1"/>
    <s v="101"/>
    <x v="0"/>
    <s v="1000"/>
    <x v="0"/>
    <s v="Asset"/>
    <n v="100000"/>
    <m/>
    <s v="Weekly dine-in &amp; drive-thru sales"/>
    <s v="Cash"/>
    <s v="Dine-In"/>
    <m/>
    <m/>
    <s v="Restaurant Ops"/>
  </r>
  <r>
    <n v="16"/>
    <s v="T0016"/>
    <x v="1"/>
    <s v="101"/>
    <x v="0"/>
    <s v="4000"/>
    <x v="4"/>
    <s v="Revenue"/>
    <m/>
    <n v="100000"/>
    <s v="Weekly dine-in &amp; drive-thru sales"/>
    <s v="Cash"/>
    <s v="Dine-In"/>
    <m/>
    <m/>
    <s v="Restaurant Ops"/>
  </r>
  <r>
    <n v="17"/>
    <s v="T0017"/>
    <x v="2"/>
    <s v="101"/>
    <x v="0"/>
    <s v="1010"/>
    <x v="5"/>
    <s v="Asset"/>
    <n v="22000"/>
    <m/>
    <s v="Delivery sales via QuickDash"/>
    <s v="Delivery Platform Settlement"/>
    <s v="Delivery"/>
    <s v="V05"/>
    <s v="QuickDash Delivery Platform"/>
    <s v="Restaurant Ops"/>
  </r>
  <r>
    <n v="17"/>
    <s v="T0017"/>
    <x v="2"/>
    <s v="101"/>
    <x v="0"/>
    <s v="4010"/>
    <x v="6"/>
    <s v="Revenue"/>
    <m/>
    <n v="22000"/>
    <s v="Delivery sales via QuickDash"/>
    <s v="Delivery Platform Settlement"/>
    <s v="Delivery"/>
    <s v="V05"/>
    <s v="QuickDash Delivery Platform"/>
    <s v="Restaurant Ops"/>
  </r>
  <r>
    <n v="18"/>
    <s v="T0018"/>
    <x v="3"/>
    <s v="101"/>
    <x v="0"/>
    <s v="1000"/>
    <x v="0"/>
    <s v="Asset"/>
    <n v="22000"/>
    <m/>
    <s v="Collection of delivery platform settlement"/>
    <s v="Delivery Platform Settlement"/>
    <s v="Delivery"/>
    <s v="V05"/>
    <s v="QuickDash Delivery Platform"/>
    <s v="Restaurant Ops"/>
  </r>
  <r>
    <n v="18"/>
    <s v="T0018"/>
    <x v="3"/>
    <s v="101"/>
    <x v="0"/>
    <s v="1010"/>
    <x v="5"/>
    <s v="Asset"/>
    <m/>
    <n v="22000"/>
    <s v="Collection of delivery platform settlement"/>
    <s v="Delivery Platform Settlement"/>
    <s v="Delivery"/>
    <s v="V05"/>
    <s v="QuickDash Delivery Platform"/>
    <s v="Restaurant Ops"/>
  </r>
  <r>
    <n v="19"/>
    <s v="T0019"/>
    <x v="3"/>
    <s v="101"/>
    <x v="0"/>
    <s v="5040"/>
    <x v="7"/>
    <s v="Expense"/>
    <n v="3300"/>
    <m/>
    <s v="Delivery platform commission fee"/>
    <s v="Cash"/>
    <s v="Delivery"/>
    <s v="V05"/>
    <s v="QuickDash Delivery Platform"/>
    <s v="Restaurant Ops"/>
  </r>
  <r>
    <n v="19"/>
    <s v="T0019"/>
    <x v="3"/>
    <s v="101"/>
    <x v="0"/>
    <s v="1000"/>
    <x v="0"/>
    <s v="Asset"/>
    <m/>
    <n v="3300"/>
    <s v="Delivery platform commission fee"/>
    <s v="Cash"/>
    <s v="Delivery"/>
    <s v="V05"/>
    <s v="QuickDash Delivery Platform"/>
    <s v="Restaurant Ops"/>
  </r>
  <r>
    <n v="20"/>
    <s v="T0020"/>
    <x v="4"/>
    <s v="101"/>
    <x v="0"/>
    <s v="1020"/>
    <x v="8"/>
    <s v="Asset"/>
    <n v="38430"/>
    <m/>
    <s v="Food &amp; beverage inventory purchase"/>
    <s v="N/A"/>
    <s v="Corporate"/>
    <s v="V01"/>
    <s v="Gulf Coast Meat Supply"/>
    <s v="Supply Chain"/>
  </r>
  <r>
    <n v="20"/>
    <s v="T0020"/>
    <x v="4"/>
    <s v="101"/>
    <x v="0"/>
    <s v="2000"/>
    <x v="9"/>
    <s v="Liability"/>
    <m/>
    <n v="38430"/>
    <s v="Food &amp; beverage inventory purchase"/>
    <s v="N/A"/>
    <s v="Corporate"/>
    <s v="V01"/>
    <s v="Gulf Coast Meat Supply"/>
    <s v="Supply Chain"/>
  </r>
  <r>
    <n v="21"/>
    <s v="T0021"/>
    <x v="5"/>
    <s v="101"/>
    <x v="0"/>
    <s v="5000"/>
    <x v="10"/>
    <s v="Expense"/>
    <n v="36600"/>
    <m/>
    <s v="Cost of food sold - monthly usage"/>
    <s v="N/A"/>
    <s v="Corporate"/>
    <s v="V01"/>
    <s v="Gulf Coast Meat Supply"/>
    <s v="Restaurant Ops"/>
  </r>
  <r>
    <n v="21"/>
    <s v="T0021"/>
    <x v="5"/>
    <s v="101"/>
    <x v="0"/>
    <s v="1020"/>
    <x v="8"/>
    <s v="Asset"/>
    <m/>
    <n v="36600"/>
    <s v="Cost of food sold - monthly usage"/>
    <s v="N/A"/>
    <s v="Corporate"/>
    <s v="V01"/>
    <s v="Gulf Coast Meat Supply"/>
    <s v="Restaurant Ops"/>
  </r>
  <r>
    <n v="22"/>
    <s v="T0022"/>
    <x v="6"/>
    <s v="101"/>
    <x v="0"/>
    <s v="5010"/>
    <x v="11"/>
    <s v="Expense"/>
    <n v="31720"/>
    <m/>
    <s v="Bi-weekly payroll"/>
    <s v="Cash"/>
    <s v="Corporate"/>
    <m/>
    <m/>
    <s v="Human Resources"/>
  </r>
  <r>
    <n v="22"/>
    <s v="T0022"/>
    <x v="6"/>
    <s v="101"/>
    <x v="0"/>
    <s v="1000"/>
    <x v="0"/>
    <s v="Asset"/>
    <m/>
    <n v="31720"/>
    <s v="Bi-weekly payroll"/>
    <s v="Cash"/>
    <s v="Corporate"/>
    <m/>
    <m/>
    <s v="Human Resources"/>
  </r>
  <r>
    <n v="23"/>
    <s v="T0023"/>
    <x v="7"/>
    <s v="101"/>
    <x v="0"/>
    <s v="5020"/>
    <x v="12"/>
    <s v="Expense"/>
    <n v="9500"/>
    <m/>
    <s v="Monthly rent payment"/>
    <s v="Cash"/>
    <s v="Corporate"/>
    <s v="V08"/>
    <s v="Prime Property Management"/>
    <s v="Finance"/>
  </r>
  <r>
    <n v="23"/>
    <s v="T0023"/>
    <x v="7"/>
    <s v="101"/>
    <x v="0"/>
    <s v="1000"/>
    <x v="0"/>
    <s v="Asset"/>
    <m/>
    <n v="9500"/>
    <s v="Monthly rent payment"/>
    <s v="Cash"/>
    <s v="Corporate"/>
    <s v="V08"/>
    <s v="Prime Property Management"/>
    <s v="Finance"/>
  </r>
  <r>
    <n v="24"/>
    <s v="T0024"/>
    <x v="8"/>
    <s v="101"/>
    <x v="0"/>
    <s v="5030"/>
    <x v="13"/>
    <s v="Expense"/>
    <n v="2600"/>
    <m/>
    <s v="Monthly utilities payment"/>
    <s v="Cash"/>
    <s v="Corporate"/>
    <s v="V07"/>
    <s v="CityWide Utilities"/>
    <s v="Facilities"/>
  </r>
  <r>
    <n v="24"/>
    <s v="T0024"/>
    <x v="8"/>
    <s v="101"/>
    <x v="0"/>
    <s v="1000"/>
    <x v="0"/>
    <s v="Asset"/>
    <m/>
    <n v="2600"/>
    <s v="Monthly utilities payment"/>
    <s v="Cash"/>
    <s v="Corporate"/>
    <s v="V07"/>
    <s v="CityWide Utilities"/>
    <s v="Facilities"/>
  </r>
  <r>
    <n v="25"/>
    <s v="T0025"/>
    <x v="5"/>
    <s v="101"/>
    <x v="0"/>
    <s v="5050"/>
    <x v="14"/>
    <s v="Expense"/>
    <n v="3050"/>
    <m/>
    <s v="Credit card processing fees"/>
    <s v="Cash"/>
    <s v="Corporate"/>
    <m/>
    <m/>
    <s v="Finance"/>
  </r>
  <r>
    <n v="25"/>
    <s v="T0025"/>
    <x v="5"/>
    <s v="101"/>
    <x v="0"/>
    <s v="1000"/>
    <x v="0"/>
    <s v="Asset"/>
    <m/>
    <n v="3050"/>
    <s v="Credit card processing fees"/>
    <s v="Cash"/>
    <s v="Corporate"/>
    <m/>
    <m/>
    <s v="Finance"/>
  </r>
  <r>
    <n v="26"/>
    <s v="T0026"/>
    <x v="9"/>
    <s v="101"/>
    <x v="0"/>
    <s v="5060"/>
    <x v="15"/>
    <s v="Expense"/>
    <n v="3660"/>
    <m/>
    <s v="Local store marketing spend"/>
    <s v="Cash"/>
    <s v="Corporate"/>
    <s v="V09"/>
    <s v="BrightSign Marketing Agency"/>
    <s v="Marketing"/>
  </r>
  <r>
    <n v="26"/>
    <s v="T0026"/>
    <x v="9"/>
    <s v="101"/>
    <x v="0"/>
    <s v="1000"/>
    <x v="0"/>
    <s v="Asset"/>
    <m/>
    <n v="3660"/>
    <s v="Local store marketing spend"/>
    <s v="Cash"/>
    <s v="Corporate"/>
    <s v="V09"/>
    <s v="BrightSign Marketing Agency"/>
    <s v="Marketing"/>
  </r>
  <r>
    <n v="27"/>
    <s v="T0027"/>
    <x v="10"/>
    <s v="101"/>
    <x v="0"/>
    <s v="5070"/>
    <x v="16"/>
    <s v="Expense"/>
    <n v="4880"/>
    <m/>
    <s v="Monthly franchise fee to corporate"/>
    <s v="Cash"/>
    <s v="Corporate"/>
    <s v="V10"/>
    <s v="Trailhead Burger Co. - Corporate"/>
    <s v="Finance"/>
  </r>
  <r>
    <n v="27"/>
    <s v="T0027"/>
    <x v="10"/>
    <s v="101"/>
    <x v="0"/>
    <s v="1000"/>
    <x v="0"/>
    <s v="Asset"/>
    <m/>
    <n v="4880"/>
    <s v="Monthly franchise fee to corporate"/>
    <s v="Cash"/>
    <s v="Corporate"/>
    <s v="V10"/>
    <s v="Trailhead Burger Co. - Corporate"/>
    <s v="Finance"/>
  </r>
  <r>
    <n v="28"/>
    <s v="T0028"/>
    <x v="11"/>
    <s v="101"/>
    <x v="0"/>
    <s v="1000"/>
    <x v="0"/>
    <s v="Asset"/>
    <n v="102000"/>
    <m/>
    <s v="Weekly dine-in &amp; drive-thru sales"/>
    <s v="Cash"/>
    <s v="Dine-In"/>
    <m/>
    <m/>
    <s v="Restaurant Ops"/>
  </r>
  <r>
    <n v="28"/>
    <s v="T0028"/>
    <x v="11"/>
    <s v="101"/>
    <x v="0"/>
    <s v="4000"/>
    <x v="4"/>
    <s v="Revenue"/>
    <m/>
    <n v="102000"/>
    <s v="Weekly dine-in &amp; drive-thru sales"/>
    <s v="Cash"/>
    <s v="Dine-In"/>
    <m/>
    <m/>
    <s v="Restaurant Ops"/>
  </r>
  <r>
    <n v="29"/>
    <s v="T0029"/>
    <x v="12"/>
    <s v="101"/>
    <x v="0"/>
    <s v="1010"/>
    <x v="5"/>
    <s v="Asset"/>
    <n v="22440"/>
    <m/>
    <s v="Delivery sales via QuickDash"/>
    <s v="Delivery Platform Settlement"/>
    <s v="Delivery"/>
    <s v="V05"/>
    <s v="QuickDash Delivery Platform"/>
    <s v="Restaurant Ops"/>
  </r>
  <r>
    <n v="29"/>
    <s v="T0029"/>
    <x v="12"/>
    <s v="101"/>
    <x v="0"/>
    <s v="4010"/>
    <x v="6"/>
    <s v="Revenue"/>
    <m/>
    <n v="22440"/>
    <s v="Delivery sales via QuickDash"/>
    <s v="Delivery Platform Settlement"/>
    <s v="Delivery"/>
    <s v="V05"/>
    <s v="QuickDash Delivery Platform"/>
    <s v="Restaurant Ops"/>
  </r>
  <r>
    <n v="30"/>
    <s v="T0030"/>
    <x v="13"/>
    <s v="101"/>
    <x v="0"/>
    <s v="1000"/>
    <x v="0"/>
    <s v="Asset"/>
    <n v="22440"/>
    <m/>
    <s v="Collection of delivery platform settlement"/>
    <s v="Delivery Platform Settlement"/>
    <s v="Delivery"/>
    <s v="V05"/>
    <s v="QuickDash Delivery Platform"/>
    <s v="Restaurant Ops"/>
  </r>
  <r>
    <n v="30"/>
    <s v="T0030"/>
    <x v="13"/>
    <s v="101"/>
    <x v="0"/>
    <s v="1010"/>
    <x v="5"/>
    <s v="Asset"/>
    <m/>
    <n v="22440"/>
    <s v="Collection of delivery platform settlement"/>
    <s v="Delivery Platform Settlement"/>
    <s v="Delivery"/>
    <s v="V05"/>
    <s v="QuickDash Delivery Platform"/>
    <s v="Restaurant Ops"/>
  </r>
  <r>
    <n v="31"/>
    <s v="T0031"/>
    <x v="13"/>
    <s v="101"/>
    <x v="0"/>
    <s v="5040"/>
    <x v="7"/>
    <s v="Expense"/>
    <n v="3366"/>
    <m/>
    <s v="Delivery platform commission fee"/>
    <s v="Cash"/>
    <s v="Delivery"/>
    <s v="V05"/>
    <s v="QuickDash Delivery Platform"/>
    <s v="Restaurant Ops"/>
  </r>
  <r>
    <n v="31"/>
    <s v="T0031"/>
    <x v="13"/>
    <s v="101"/>
    <x v="0"/>
    <s v="1000"/>
    <x v="0"/>
    <s v="Asset"/>
    <m/>
    <n v="3366"/>
    <s v="Delivery platform commission fee"/>
    <s v="Cash"/>
    <s v="Delivery"/>
    <s v="V05"/>
    <s v="QuickDash Delivery Platform"/>
    <s v="Restaurant Ops"/>
  </r>
  <r>
    <n v="32"/>
    <s v="T0032"/>
    <x v="14"/>
    <s v="101"/>
    <x v="0"/>
    <s v="1020"/>
    <x v="8"/>
    <s v="Asset"/>
    <n v="39198.6"/>
    <m/>
    <s v="Food &amp; beverage inventory purchase"/>
    <s v="N/A"/>
    <s v="Corporate"/>
    <s v="V02"/>
    <s v="Fresh Produce Partners"/>
    <s v="Supply Chain"/>
  </r>
  <r>
    <n v="32"/>
    <s v="T0032"/>
    <x v="14"/>
    <s v="101"/>
    <x v="0"/>
    <s v="2000"/>
    <x v="9"/>
    <s v="Liability"/>
    <m/>
    <n v="39198.6"/>
    <s v="Food &amp; beverage inventory purchase"/>
    <s v="N/A"/>
    <s v="Corporate"/>
    <s v="V02"/>
    <s v="Fresh Produce Partners"/>
    <s v="Supply Chain"/>
  </r>
  <r>
    <n v="33"/>
    <s v="T0033"/>
    <x v="15"/>
    <s v="101"/>
    <x v="0"/>
    <s v="5000"/>
    <x v="10"/>
    <s v="Expense"/>
    <n v="37332"/>
    <m/>
    <s v="Cost of food sold - monthly usage"/>
    <s v="N/A"/>
    <s v="Corporate"/>
    <s v="V02"/>
    <s v="Fresh Produce Partners"/>
    <s v="Restaurant Ops"/>
  </r>
  <r>
    <n v="33"/>
    <s v="T0033"/>
    <x v="15"/>
    <s v="101"/>
    <x v="0"/>
    <s v="1020"/>
    <x v="8"/>
    <s v="Asset"/>
    <m/>
    <n v="37332"/>
    <s v="Cost of food sold - monthly usage"/>
    <s v="N/A"/>
    <s v="Corporate"/>
    <s v="V02"/>
    <s v="Fresh Produce Partners"/>
    <s v="Restaurant Ops"/>
  </r>
  <r>
    <n v="34"/>
    <s v="T0034"/>
    <x v="16"/>
    <s v="101"/>
    <x v="0"/>
    <s v="5010"/>
    <x v="11"/>
    <s v="Expense"/>
    <n v="32354.400000000001"/>
    <m/>
    <s v="Bi-weekly payroll"/>
    <s v="Cash"/>
    <s v="Corporate"/>
    <m/>
    <m/>
    <s v="Human Resources"/>
  </r>
  <r>
    <n v="34"/>
    <s v="T0034"/>
    <x v="16"/>
    <s v="101"/>
    <x v="0"/>
    <s v="1000"/>
    <x v="0"/>
    <s v="Asset"/>
    <m/>
    <n v="32354.400000000001"/>
    <s v="Bi-weekly payroll"/>
    <s v="Cash"/>
    <s v="Corporate"/>
    <m/>
    <m/>
    <s v="Human Resources"/>
  </r>
  <r>
    <n v="35"/>
    <s v="T0035"/>
    <x v="17"/>
    <s v="101"/>
    <x v="0"/>
    <s v="5020"/>
    <x v="12"/>
    <s v="Expense"/>
    <n v="9500"/>
    <m/>
    <s v="Monthly rent payment"/>
    <s v="Cash"/>
    <s v="Corporate"/>
    <s v="V08"/>
    <s v="Prime Property Management"/>
    <s v="Finance"/>
  </r>
  <r>
    <n v="35"/>
    <s v="T0035"/>
    <x v="17"/>
    <s v="101"/>
    <x v="0"/>
    <s v="1000"/>
    <x v="0"/>
    <s v="Asset"/>
    <m/>
    <n v="9500"/>
    <s v="Monthly rent payment"/>
    <s v="Cash"/>
    <s v="Corporate"/>
    <s v="V08"/>
    <s v="Prime Property Management"/>
    <s v="Finance"/>
  </r>
  <r>
    <n v="36"/>
    <s v="T0036"/>
    <x v="18"/>
    <s v="101"/>
    <x v="0"/>
    <s v="5030"/>
    <x v="13"/>
    <s v="Expense"/>
    <n v="2678"/>
    <m/>
    <s v="Monthly utilities payment"/>
    <s v="Cash"/>
    <s v="Corporate"/>
    <s v="V07"/>
    <s v="CityWide Utilities"/>
    <s v="Facilities"/>
  </r>
  <r>
    <n v="36"/>
    <s v="T0036"/>
    <x v="18"/>
    <s v="101"/>
    <x v="0"/>
    <s v="1000"/>
    <x v="0"/>
    <s v="Asset"/>
    <m/>
    <n v="2678"/>
    <s v="Monthly utilities payment"/>
    <s v="Cash"/>
    <s v="Corporate"/>
    <s v="V07"/>
    <s v="CityWide Utilities"/>
    <s v="Facilities"/>
  </r>
  <r>
    <n v="37"/>
    <s v="T0037"/>
    <x v="15"/>
    <s v="101"/>
    <x v="0"/>
    <s v="5050"/>
    <x v="14"/>
    <s v="Expense"/>
    <n v="3111"/>
    <m/>
    <s v="Credit card processing fees"/>
    <s v="Cash"/>
    <s v="Corporate"/>
    <m/>
    <m/>
    <s v="Finance"/>
  </r>
  <r>
    <n v="37"/>
    <s v="T0037"/>
    <x v="15"/>
    <s v="101"/>
    <x v="0"/>
    <s v="1000"/>
    <x v="0"/>
    <s v="Asset"/>
    <m/>
    <n v="3111"/>
    <s v="Credit card processing fees"/>
    <s v="Cash"/>
    <s v="Corporate"/>
    <m/>
    <m/>
    <s v="Finance"/>
  </r>
  <r>
    <n v="38"/>
    <s v="T0038"/>
    <x v="19"/>
    <s v="101"/>
    <x v="0"/>
    <s v="5060"/>
    <x v="15"/>
    <s v="Expense"/>
    <n v="3733.2"/>
    <m/>
    <s v="Local store marketing spend"/>
    <s v="Cash"/>
    <s v="Corporate"/>
    <s v="V09"/>
    <s v="BrightSign Marketing Agency"/>
    <s v="Marketing"/>
  </r>
  <r>
    <n v="38"/>
    <s v="T0038"/>
    <x v="19"/>
    <s v="101"/>
    <x v="0"/>
    <s v="1000"/>
    <x v="0"/>
    <s v="Asset"/>
    <m/>
    <n v="3733.2"/>
    <s v="Local store marketing spend"/>
    <s v="Cash"/>
    <s v="Corporate"/>
    <s v="V09"/>
    <s v="BrightSign Marketing Agency"/>
    <s v="Marketing"/>
  </r>
  <r>
    <n v="39"/>
    <s v="T0039"/>
    <x v="15"/>
    <s v="101"/>
    <x v="0"/>
    <s v="5070"/>
    <x v="16"/>
    <s v="Expense"/>
    <n v="4977.6000000000004"/>
    <m/>
    <s v="Monthly franchise fee to corporate"/>
    <s v="Cash"/>
    <s v="Corporate"/>
    <s v="V10"/>
    <s v="Trailhead Burger Co. - Corporate"/>
    <s v="Finance"/>
  </r>
  <r>
    <n v="39"/>
    <s v="T0039"/>
    <x v="15"/>
    <s v="101"/>
    <x v="0"/>
    <s v="1000"/>
    <x v="0"/>
    <s v="Asset"/>
    <m/>
    <n v="4977.6000000000004"/>
    <s v="Monthly franchise fee to corporate"/>
    <s v="Cash"/>
    <s v="Corporate"/>
    <s v="V10"/>
    <s v="Trailhead Burger Co. - Corporate"/>
    <s v="Finance"/>
  </r>
  <r>
    <n v="40"/>
    <s v="T0040"/>
    <x v="20"/>
    <s v="101"/>
    <x v="0"/>
    <s v="2000"/>
    <x v="9"/>
    <s v="Liability"/>
    <n v="33598.800000000003"/>
    <m/>
    <s v="Payment on vendor account payable"/>
    <s v="Cash"/>
    <s v="Corporate"/>
    <s v="V02"/>
    <s v="Fresh Produce Partners"/>
    <s v="Finance"/>
  </r>
  <r>
    <n v="40"/>
    <s v="T0040"/>
    <x v="20"/>
    <s v="101"/>
    <x v="0"/>
    <s v="1000"/>
    <x v="0"/>
    <s v="Asset"/>
    <m/>
    <n v="33598.800000000003"/>
    <s v="Payment on vendor account payable"/>
    <s v="Cash"/>
    <s v="Corporate"/>
    <s v="V02"/>
    <s v="Fresh Produce Partners"/>
    <s v="Finance"/>
  </r>
  <r>
    <n v="41"/>
    <s v="T0041"/>
    <x v="21"/>
    <s v="101"/>
    <x v="0"/>
    <s v="1000"/>
    <x v="0"/>
    <s v="Asset"/>
    <n v="104000"/>
    <m/>
    <s v="Weekly dine-in &amp; drive-thru sales"/>
    <s v="Cash"/>
    <s v="Dine-In"/>
    <m/>
    <m/>
    <s v="Restaurant Ops"/>
  </r>
  <r>
    <n v="41"/>
    <s v="T0041"/>
    <x v="21"/>
    <s v="101"/>
    <x v="0"/>
    <s v="4000"/>
    <x v="4"/>
    <s v="Revenue"/>
    <m/>
    <n v="104000"/>
    <s v="Weekly dine-in &amp; drive-thru sales"/>
    <s v="Cash"/>
    <s v="Dine-In"/>
    <m/>
    <m/>
    <s v="Restaurant Ops"/>
  </r>
  <r>
    <n v="42"/>
    <s v="T0042"/>
    <x v="22"/>
    <s v="101"/>
    <x v="0"/>
    <s v="1010"/>
    <x v="5"/>
    <s v="Asset"/>
    <n v="22880"/>
    <m/>
    <s v="Delivery sales via QuickDash"/>
    <s v="Delivery Platform Settlement"/>
    <s v="Delivery"/>
    <s v="V05"/>
    <s v="QuickDash Delivery Platform"/>
    <s v="Restaurant Ops"/>
  </r>
  <r>
    <n v="42"/>
    <s v="T0042"/>
    <x v="22"/>
    <s v="101"/>
    <x v="0"/>
    <s v="4010"/>
    <x v="6"/>
    <s v="Revenue"/>
    <m/>
    <n v="22880"/>
    <s v="Delivery sales via QuickDash"/>
    <s v="Delivery Platform Settlement"/>
    <s v="Delivery"/>
    <s v="V05"/>
    <s v="QuickDash Delivery Platform"/>
    <s v="Restaurant Ops"/>
  </r>
  <r>
    <n v="43"/>
    <s v="T0043"/>
    <x v="23"/>
    <s v="101"/>
    <x v="0"/>
    <s v="1000"/>
    <x v="0"/>
    <s v="Asset"/>
    <n v="22880"/>
    <m/>
    <s v="Collection of delivery platform settlement"/>
    <s v="Delivery Platform Settlement"/>
    <s v="Delivery"/>
    <s v="V05"/>
    <s v="QuickDash Delivery Platform"/>
    <s v="Restaurant Ops"/>
  </r>
  <r>
    <n v="43"/>
    <s v="T0043"/>
    <x v="23"/>
    <s v="101"/>
    <x v="0"/>
    <s v="1010"/>
    <x v="5"/>
    <s v="Asset"/>
    <m/>
    <n v="22880"/>
    <s v="Collection of delivery platform settlement"/>
    <s v="Delivery Platform Settlement"/>
    <s v="Delivery"/>
    <s v="V05"/>
    <s v="QuickDash Delivery Platform"/>
    <s v="Restaurant Ops"/>
  </r>
  <r>
    <n v="44"/>
    <s v="T0044"/>
    <x v="23"/>
    <s v="101"/>
    <x v="0"/>
    <s v="5040"/>
    <x v="7"/>
    <s v="Expense"/>
    <n v="3432"/>
    <m/>
    <s v="Delivery platform commission fee"/>
    <s v="Cash"/>
    <s v="Delivery"/>
    <s v="V05"/>
    <s v="QuickDash Delivery Platform"/>
    <s v="Restaurant Ops"/>
  </r>
  <r>
    <n v="44"/>
    <s v="T0044"/>
    <x v="23"/>
    <s v="101"/>
    <x v="0"/>
    <s v="1000"/>
    <x v="0"/>
    <s v="Asset"/>
    <m/>
    <n v="3432"/>
    <s v="Delivery platform commission fee"/>
    <s v="Cash"/>
    <s v="Delivery"/>
    <s v="V05"/>
    <s v="QuickDash Delivery Platform"/>
    <s v="Restaurant Ops"/>
  </r>
  <r>
    <n v="45"/>
    <s v="T0045"/>
    <x v="24"/>
    <s v="101"/>
    <x v="0"/>
    <s v="1020"/>
    <x v="8"/>
    <s v="Asset"/>
    <n v="39967.199999999997"/>
    <m/>
    <s v="Food &amp; beverage inventory purchase"/>
    <s v="N/A"/>
    <s v="Corporate"/>
    <s v="V01"/>
    <s v="Gulf Coast Meat Supply"/>
    <s v="Supply Chain"/>
  </r>
  <r>
    <n v="45"/>
    <s v="T0045"/>
    <x v="24"/>
    <s v="101"/>
    <x v="0"/>
    <s v="2000"/>
    <x v="9"/>
    <s v="Liability"/>
    <m/>
    <n v="39967.199999999997"/>
    <s v="Food &amp; beverage inventory purchase"/>
    <s v="N/A"/>
    <s v="Corporate"/>
    <s v="V01"/>
    <s v="Gulf Coast Meat Supply"/>
    <s v="Supply Chain"/>
  </r>
  <r>
    <n v="46"/>
    <s v="T0046"/>
    <x v="25"/>
    <s v="101"/>
    <x v="0"/>
    <s v="5000"/>
    <x v="10"/>
    <s v="Expense"/>
    <n v="38064"/>
    <m/>
    <s v="Cost of food sold - monthly usage"/>
    <s v="N/A"/>
    <s v="Corporate"/>
    <s v="V01"/>
    <s v="Gulf Coast Meat Supply"/>
    <s v="Restaurant Ops"/>
  </r>
  <r>
    <n v="46"/>
    <s v="T0046"/>
    <x v="25"/>
    <s v="101"/>
    <x v="0"/>
    <s v="1020"/>
    <x v="8"/>
    <s v="Asset"/>
    <m/>
    <n v="38064"/>
    <s v="Cost of food sold - monthly usage"/>
    <s v="N/A"/>
    <s v="Corporate"/>
    <s v="V01"/>
    <s v="Gulf Coast Meat Supply"/>
    <s v="Restaurant Ops"/>
  </r>
  <r>
    <n v="47"/>
    <s v="T0047"/>
    <x v="26"/>
    <s v="101"/>
    <x v="0"/>
    <s v="5010"/>
    <x v="11"/>
    <s v="Expense"/>
    <n v="32988.800000000003"/>
    <m/>
    <s v="Bi-weekly payroll"/>
    <s v="Cash"/>
    <s v="Corporate"/>
    <m/>
    <m/>
    <s v="Human Resources"/>
  </r>
  <r>
    <n v="47"/>
    <s v="T0047"/>
    <x v="26"/>
    <s v="101"/>
    <x v="0"/>
    <s v="1000"/>
    <x v="0"/>
    <s v="Asset"/>
    <m/>
    <n v="32988.800000000003"/>
    <s v="Bi-weekly payroll"/>
    <s v="Cash"/>
    <s v="Corporate"/>
    <m/>
    <m/>
    <s v="Human Resources"/>
  </r>
  <r>
    <n v="48"/>
    <s v="T0048"/>
    <x v="27"/>
    <s v="101"/>
    <x v="0"/>
    <s v="5020"/>
    <x v="12"/>
    <s v="Expense"/>
    <n v="9500"/>
    <m/>
    <s v="Monthly rent payment"/>
    <s v="Cash"/>
    <s v="Corporate"/>
    <s v="V08"/>
    <s v="Prime Property Management"/>
    <s v="Finance"/>
  </r>
  <r>
    <n v="48"/>
    <s v="T0048"/>
    <x v="27"/>
    <s v="101"/>
    <x v="0"/>
    <s v="1000"/>
    <x v="0"/>
    <s v="Asset"/>
    <m/>
    <n v="9500"/>
    <s v="Monthly rent payment"/>
    <s v="Cash"/>
    <s v="Corporate"/>
    <s v="V08"/>
    <s v="Prime Property Management"/>
    <s v="Finance"/>
  </r>
  <r>
    <n v="49"/>
    <s v="T0049"/>
    <x v="28"/>
    <s v="101"/>
    <x v="0"/>
    <s v="5030"/>
    <x v="13"/>
    <s v="Expense"/>
    <n v="2756"/>
    <m/>
    <s v="Monthly utilities payment"/>
    <s v="Cash"/>
    <s v="Corporate"/>
    <s v="V07"/>
    <s v="CityWide Utilities"/>
    <s v="Facilities"/>
  </r>
  <r>
    <n v="49"/>
    <s v="T0049"/>
    <x v="28"/>
    <s v="101"/>
    <x v="0"/>
    <s v="1000"/>
    <x v="0"/>
    <s v="Asset"/>
    <m/>
    <n v="2756"/>
    <s v="Monthly utilities payment"/>
    <s v="Cash"/>
    <s v="Corporate"/>
    <s v="V07"/>
    <s v="CityWide Utilities"/>
    <s v="Facilities"/>
  </r>
  <r>
    <n v="50"/>
    <s v="T0050"/>
    <x v="25"/>
    <s v="101"/>
    <x v="0"/>
    <s v="5050"/>
    <x v="14"/>
    <s v="Expense"/>
    <n v="3172"/>
    <m/>
    <s v="Credit card processing fees"/>
    <s v="Cash"/>
    <s v="Corporate"/>
    <m/>
    <m/>
    <s v="Finance"/>
  </r>
  <r>
    <n v="50"/>
    <s v="T0050"/>
    <x v="25"/>
    <s v="101"/>
    <x v="0"/>
    <s v="1000"/>
    <x v="0"/>
    <s v="Asset"/>
    <m/>
    <n v="3172"/>
    <s v="Credit card processing fees"/>
    <s v="Cash"/>
    <s v="Corporate"/>
    <m/>
    <m/>
    <s v="Finance"/>
  </r>
  <r>
    <n v="51"/>
    <s v="T0051"/>
    <x v="29"/>
    <s v="101"/>
    <x v="0"/>
    <s v="5060"/>
    <x v="15"/>
    <s v="Expense"/>
    <n v="3806.4"/>
    <m/>
    <s v="Local store marketing spend"/>
    <s v="Cash"/>
    <s v="Corporate"/>
    <s v="V09"/>
    <s v="BrightSign Marketing Agency"/>
    <s v="Marketing"/>
  </r>
  <r>
    <n v="51"/>
    <s v="T0051"/>
    <x v="29"/>
    <s v="101"/>
    <x v="0"/>
    <s v="1000"/>
    <x v="0"/>
    <s v="Asset"/>
    <m/>
    <n v="3806.4"/>
    <s v="Local store marketing spend"/>
    <s v="Cash"/>
    <s v="Corporate"/>
    <s v="V09"/>
    <s v="BrightSign Marketing Agency"/>
    <s v="Marketing"/>
  </r>
  <r>
    <n v="52"/>
    <s v="T0052"/>
    <x v="30"/>
    <s v="101"/>
    <x v="0"/>
    <s v="5070"/>
    <x v="16"/>
    <s v="Expense"/>
    <n v="5075.2"/>
    <m/>
    <s v="Monthly franchise fee to corporate"/>
    <s v="Cash"/>
    <s v="Corporate"/>
    <s v="V10"/>
    <s v="Trailhead Burger Co. - Corporate"/>
    <s v="Finance"/>
  </r>
  <r>
    <n v="52"/>
    <s v="T0052"/>
    <x v="30"/>
    <s v="101"/>
    <x v="0"/>
    <s v="1000"/>
    <x v="0"/>
    <s v="Asset"/>
    <m/>
    <n v="5075.2"/>
    <s v="Monthly franchise fee to corporate"/>
    <s v="Cash"/>
    <s v="Corporate"/>
    <s v="V10"/>
    <s v="Trailhead Burger Co. - Corporate"/>
    <s v="Finance"/>
  </r>
  <r>
    <n v="53"/>
    <s v="T0053"/>
    <x v="31"/>
    <s v="101"/>
    <x v="0"/>
    <s v="2000"/>
    <x v="9"/>
    <s v="Liability"/>
    <n v="34257.599999999999"/>
    <m/>
    <s v="Payment on vendor account payable"/>
    <s v="Cash"/>
    <s v="Corporate"/>
    <s v="V01"/>
    <s v="Gulf Coast Meat Supply"/>
    <s v="Finance"/>
  </r>
  <r>
    <n v="53"/>
    <s v="T0053"/>
    <x v="31"/>
    <s v="101"/>
    <x v="0"/>
    <s v="1000"/>
    <x v="0"/>
    <s v="Asset"/>
    <m/>
    <n v="34257.599999999999"/>
    <s v="Payment on vendor account payable"/>
    <s v="Cash"/>
    <s v="Corporate"/>
    <s v="V01"/>
    <s v="Gulf Coast Meat Supply"/>
    <s v="Finance"/>
  </r>
  <r>
    <n v="54"/>
    <s v="T0054"/>
    <x v="1"/>
    <s v="102"/>
    <x v="1"/>
    <s v="1000"/>
    <x v="0"/>
    <s v="Asset"/>
    <n v="95000"/>
    <m/>
    <s v="Weekly dine-in &amp; drive-thru sales"/>
    <s v="Cash"/>
    <s v="Dine-In"/>
    <m/>
    <m/>
    <s v="Restaurant Ops"/>
  </r>
  <r>
    <n v="54"/>
    <s v="T0054"/>
    <x v="1"/>
    <s v="102"/>
    <x v="1"/>
    <s v="4000"/>
    <x v="4"/>
    <s v="Revenue"/>
    <m/>
    <n v="95000"/>
    <s v="Weekly dine-in &amp; drive-thru sales"/>
    <s v="Cash"/>
    <s v="Dine-In"/>
    <m/>
    <m/>
    <s v="Restaurant Ops"/>
  </r>
  <r>
    <n v="55"/>
    <s v="T0055"/>
    <x v="2"/>
    <s v="102"/>
    <x v="1"/>
    <s v="1010"/>
    <x v="5"/>
    <s v="Asset"/>
    <n v="20900"/>
    <m/>
    <s v="Delivery sales via QuickDash"/>
    <s v="Delivery Platform Settlement"/>
    <s v="Delivery"/>
    <s v="V05"/>
    <s v="QuickDash Delivery Platform"/>
    <s v="Restaurant Ops"/>
  </r>
  <r>
    <n v="55"/>
    <s v="T0055"/>
    <x v="2"/>
    <s v="102"/>
    <x v="1"/>
    <s v="4010"/>
    <x v="6"/>
    <s v="Revenue"/>
    <m/>
    <n v="20900"/>
    <s v="Delivery sales via QuickDash"/>
    <s v="Delivery Platform Settlement"/>
    <s v="Delivery"/>
    <s v="V05"/>
    <s v="QuickDash Delivery Platform"/>
    <s v="Restaurant Ops"/>
  </r>
  <r>
    <n v="56"/>
    <s v="T0056"/>
    <x v="3"/>
    <s v="102"/>
    <x v="1"/>
    <s v="1000"/>
    <x v="0"/>
    <s v="Asset"/>
    <n v="20900"/>
    <m/>
    <s v="Collection of delivery platform settlement"/>
    <s v="Delivery Platform Settlement"/>
    <s v="Delivery"/>
    <s v="V05"/>
    <s v="QuickDash Delivery Platform"/>
    <s v="Restaurant Ops"/>
  </r>
  <r>
    <n v="56"/>
    <s v="T0056"/>
    <x v="3"/>
    <s v="102"/>
    <x v="1"/>
    <s v="1010"/>
    <x v="5"/>
    <s v="Asset"/>
    <m/>
    <n v="20900"/>
    <s v="Collection of delivery platform settlement"/>
    <s v="Delivery Platform Settlement"/>
    <s v="Delivery"/>
    <s v="V05"/>
    <s v="QuickDash Delivery Platform"/>
    <s v="Restaurant Ops"/>
  </r>
  <r>
    <n v="57"/>
    <s v="T0057"/>
    <x v="3"/>
    <s v="102"/>
    <x v="1"/>
    <s v="5040"/>
    <x v="7"/>
    <s v="Expense"/>
    <n v="3135"/>
    <m/>
    <s v="Delivery platform commission fee"/>
    <s v="Cash"/>
    <s v="Delivery"/>
    <s v="V05"/>
    <s v="QuickDash Delivery Platform"/>
    <s v="Restaurant Ops"/>
  </r>
  <r>
    <n v="57"/>
    <s v="T0057"/>
    <x v="3"/>
    <s v="102"/>
    <x v="1"/>
    <s v="1000"/>
    <x v="0"/>
    <s v="Asset"/>
    <m/>
    <n v="3135"/>
    <s v="Delivery platform commission fee"/>
    <s v="Cash"/>
    <s v="Delivery"/>
    <s v="V05"/>
    <s v="QuickDash Delivery Platform"/>
    <s v="Restaurant Ops"/>
  </r>
  <r>
    <n v="58"/>
    <s v="T0058"/>
    <x v="4"/>
    <s v="102"/>
    <x v="1"/>
    <s v="1020"/>
    <x v="8"/>
    <s v="Asset"/>
    <n v="36508.5"/>
    <m/>
    <s v="Food &amp; beverage inventory purchase"/>
    <s v="N/A"/>
    <s v="Corporate"/>
    <s v="V01"/>
    <s v="Gulf Coast Meat Supply"/>
    <s v="Supply Chain"/>
  </r>
  <r>
    <n v="58"/>
    <s v="T0058"/>
    <x v="4"/>
    <s v="102"/>
    <x v="1"/>
    <s v="2000"/>
    <x v="9"/>
    <s v="Liability"/>
    <m/>
    <n v="36508.5"/>
    <s v="Food &amp; beverage inventory purchase"/>
    <s v="N/A"/>
    <s v="Corporate"/>
    <s v="V01"/>
    <s v="Gulf Coast Meat Supply"/>
    <s v="Supply Chain"/>
  </r>
  <r>
    <n v="59"/>
    <s v="T0059"/>
    <x v="5"/>
    <s v="102"/>
    <x v="1"/>
    <s v="5000"/>
    <x v="10"/>
    <s v="Expense"/>
    <n v="34770"/>
    <m/>
    <s v="Cost of food sold - monthly usage"/>
    <s v="N/A"/>
    <s v="Corporate"/>
    <s v="V01"/>
    <s v="Gulf Coast Meat Supply"/>
    <s v="Restaurant Ops"/>
  </r>
  <r>
    <n v="59"/>
    <s v="T0059"/>
    <x v="5"/>
    <s v="102"/>
    <x v="1"/>
    <s v="1020"/>
    <x v="8"/>
    <s v="Asset"/>
    <m/>
    <n v="34770"/>
    <s v="Cost of food sold - monthly usage"/>
    <s v="N/A"/>
    <s v="Corporate"/>
    <s v="V01"/>
    <s v="Gulf Coast Meat Supply"/>
    <s v="Restaurant Ops"/>
  </r>
  <r>
    <n v="60"/>
    <s v="T0060"/>
    <x v="6"/>
    <s v="102"/>
    <x v="1"/>
    <s v="5010"/>
    <x v="11"/>
    <s v="Expense"/>
    <n v="30134"/>
    <m/>
    <s v="Bi-weekly payroll"/>
    <s v="Cash"/>
    <s v="Corporate"/>
    <m/>
    <m/>
    <s v="Human Resources"/>
  </r>
  <r>
    <n v="60"/>
    <s v="T0060"/>
    <x v="6"/>
    <s v="102"/>
    <x v="1"/>
    <s v="1000"/>
    <x v="0"/>
    <s v="Asset"/>
    <m/>
    <n v="30134"/>
    <s v="Bi-weekly payroll"/>
    <s v="Cash"/>
    <s v="Corporate"/>
    <m/>
    <m/>
    <s v="Human Resources"/>
  </r>
  <r>
    <n v="61"/>
    <s v="T0061"/>
    <x v="7"/>
    <s v="102"/>
    <x v="1"/>
    <s v="5020"/>
    <x v="12"/>
    <s v="Expense"/>
    <n v="9000"/>
    <m/>
    <s v="Monthly rent payment"/>
    <s v="Cash"/>
    <s v="Corporate"/>
    <s v="V08"/>
    <s v="Prime Property Management"/>
    <s v="Finance"/>
  </r>
  <r>
    <n v="61"/>
    <s v="T0061"/>
    <x v="7"/>
    <s v="102"/>
    <x v="1"/>
    <s v="1000"/>
    <x v="0"/>
    <s v="Asset"/>
    <m/>
    <n v="9000"/>
    <s v="Monthly rent payment"/>
    <s v="Cash"/>
    <s v="Corporate"/>
    <s v="V08"/>
    <s v="Prime Property Management"/>
    <s v="Finance"/>
  </r>
  <r>
    <n v="62"/>
    <s v="T0062"/>
    <x v="8"/>
    <s v="102"/>
    <x v="1"/>
    <s v="5030"/>
    <x v="13"/>
    <s v="Expense"/>
    <n v="2400"/>
    <m/>
    <s v="Monthly utilities payment"/>
    <s v="Cash"/>
    <s v="Corporate"/>
    <s v="V07"/>
    <s v="CityWide Utilities"/>
    <s v="Facilities"/>
  </r>
  <r>
    <n v="62"/>
    <s v="T0062"/>
    <x v="8"/>
    <s v="102"/>
    <x v="1"/>
    <s v="1000"/>
    <x v="0"/>
    <s v="Asset"/>
    <m/>
    <n v="2400"/>
    <s v="Monthly utilities payment"/>
    <s v="Cash"/>
    <s v="Corporate"/>
    <s v="V07"/>
    <s v="CityWide Utilities"/>
    <s v="Facilities"/>
  </r>
  <r>
    <n v="63"/>
    <s v="T0063"/>
    <x v="5"/>
    <s v="102"/>
    <x v="1"/>
    <s v="5050"/>
    <x v="14"/>
    <s v="Expense"/>
    <n v="2897.5"/>
    <m/>
    <s v="Credit card processing fees"/>
    <s v="Cash"/>
    <s v="Corporate"/>
    <m/>
    <m/>
    <s v="Finance"/>
  </r>
  <r>
    <n v="63"/>
    <s v="T0063"/>
    <x v="5"/>
    <s v="102"/>
    <x v="1"/>
    <s v="1000"/>
    <x v="0"/>
    <s v="Asset"/>
    <m/>
    <n v="2897.5"/>
    <s v="Credit card processing fees"/>
    <s v="Cash"/>
    <s v="Corporate"/>
    <m/>
    <m/>
    <s v="Finance"/>
  </r>
  <r>
    <n v="64"/>
    <s v="T0064"/>
    <x v="9"/>
    <s v="102"/>
    <x v="1"/>
    <s v="5060"/>
    <x v="15"/>
    <s v="Expense"/>
    <n v="3477"/>
    <m/>
    <s v="Local store marketing spend"/>
    <s v="Cash"/>
    <s v="Corporate"/>
    <s v="V09"/>
    <s v="BrightSign Marketing Agency"/>
    <s v="Marketing"/>
  </r>
  <r>
    <n v="64"/>
    <s v="T0064"/>
    <x v="9"/>
    <s v="102"/>
    <x v="1"/>
    <s v="1000"/>
    <x v="0"/>
    <s v="Asset"/>
    <m/>
    <n v="3477"/>
    <s v="Local store marketing spend"/>
    <s v="Cash"/>
    <s v="Corporate"/>
    <s v="V09"/>
    <s v="BrightSign Marketing Agency"/>
    <s v="Marketing"/>
  </r>
  <r>
    <n v="65"/>
    <s v="T0065"/>
    <x v="10"/>
    <s v="102"/>
    <x v="1"/>
    <s v="5070"/>
    <x v="16"/>
    <s v="Expense"/>
    <n v="4636"/>
    <m/>
    <s v="Monthly franchise fee to corporate"/>
    <s v="Cash"/>
    <s v="Corporate"/>
    <s v="V10"/>
    <s v="Trailhead Burger Co. - Corporate"/>
    <s v="Finance"/>
  </r>
  <r>
    <n v="65"/>
    <s v="T0065"/>
    <x v="10"/>
    <s v="102"/>
    <x v="1"/>
    <s v="1000"/>
    <x v="0"/>
    <s v="Asset"/>
    <m/>
    <n v="4636"/>
    <s v="Monthly franchise fee to corporate"/>
    <s v="Cash"/>
    <s v="Corporate"/>
    <s v="V10"/>
    <s v="Trailhead Burger Co. - Corporate"/>
    <s v="Finance"/>
  </r>
  <r>
    <n v="66"/>
    <s v="T0066"/>
    <x v="11"/>
    <s v="102"/>
    <x v="1"/>
    <s v="1000"/>
    <x v="0"/>
    <s v="Asset"/>
    <n v="96900"/>
    <m/>
    <s v="Weekly dine-in &amp; drive-thru sales"/>
    <s v="Cash"/>
    <s v="Dine-In"/>
    <m/>
    <m/>
    <s v="Restaurant Ops"/>
  </r>
  <r>
    <n v="66"/>
    <s v="T0066"/>
    <x v="11"/>
    <s v="102"/>
    <x v="1"/>
    <s v="4000"/>
    <x v="4"/>
    <s v="Revenue"/>
    <m/>
    <n v="96900"/>
    <s v="Weekly dine-in &amp; drive-thru sales"/>
    <s v="Cash"/>
    <s v="Dine-In"/>
    <m/>
    <m/>
    <s v="Restaurant Ops"/>
  </r>
  <r>
    <n v="67"/>
    <s v="T0067"/>
    <x v="12"/>
    <s v="102"/>
    <x v="1"/>
    <s v="1010"/>
    <x v="5"/>
    <s v="Asset"/>
    <n v="21318"/>
    <m/>
    <s v="Delivery sales via QuickDash"/>
    <s v="Delivery Platform Settlement"/>
    <s v="Delivery"/>
    <s v="V05"/>
    <s v="QuickDash Delivery Platform"/>
    <s v="Restaurant Ops"/>
  </r>
  <r>
    <n v="67"/>
    <s v="T0067"/>
    <x v="12"/>
    <s v="102"/>
    <x v="1"/>
    <s v="4010"/>
    <x v="6"/>
    <s v="Revenue"/>
    <m/>
    <n v="21318"/>
    <s v="Delivery sales via QuickDash"/>
    <s v="Delivery Platform Settlement"/>
    <s v="Delivery"/>
    <s v="V05"/>
    <s v="QuickDash Delivery Platform"/>
    <s v="Restaurant Ops"/>
  </r>
  <r>
    <n v="68"/>
    <s v="T0068"/>
    <x v="13"/>
    <s v="102"/>
    <x v="1"/>
    <s v="1000"/>
    <x v="0"/>
    <s v="Asset"/>
    <n v="21318"/>
    <m/>
    <s v="Collection of delivery platform settlement"/>
    <s v="Delivery Platform Settlement"/>
    <s v="Delivery"/>
    <s v="V05"/>
    <s v="QuickDash Delivery Platform"/>
    <s v="Restaurant Ops"/>
  </r>
  <r>
    <n v="68"/>
    <s v="T0068"/>
    <x v="13"/>
    <s v="102"/>
    <x v="1"/>
    <s v="1010"/>
    <x v="5"/>
    <s v="Asset"/>
    <m/>
    <n v="21318"/>
    <s v="Collection of delivery platform settlement"/>
    <s v="Delivery Platform Settlement"/>
    <s v="Delivery"/>
    <s v="V05"/>
    <s v="QuickDash Delivery Platform"/>
    <s v="Restaurant Ops"/>
  </r>
  <r>
    <n v="69"/>
    <s v="T0069"/>
    <x v="13"/>
    <s v="102"/>
    <x v="1"/>
    <s v="5040"/>
    <x v="7"/>
    <s v="Expense"/>
    <n v="3197.7"/>
    <m/>
    <s v="Delivery platform commission fee"/>
    <s v="Cash"/>
    <s v="Delivery"/>
    <s v="V05"/>
    <s v="QuickDash Delivery Platform"/>
    <s v="Restaurant Ops"/>
  </r>
  <r>
    <n v="69"/>
    <s v="T0069"/>
    <x v="13"/>
    <s v="102"/>
    <x v="1"/>
    <s v="1000"/>
    <x v="0"/>
    <s v="Asset"/>
    <m/>
    <n v="3197.7"/>
    <s v="Delivery platform commission fee"/>
    <s v="Cash"/>
    <s v="Delivery"/>
    <s v="V05"/>
    <s v="QuickDash Delivery Platform"/>
    <s v="Restaurant Ops"/>
  </r>
  <r>
    <n v="70"/>
    <s v="T0070"/>
    <x v="14"/>
    <s v="102"/>
    <x v="1"/>
    <s v="1020"/>
    <x v="8"/>
    <s v="Asset"/>
    <n v="37238.67"/>
    <m/>
    <s v="Food &amp; beverage inventory purchase"/>
    <s v="N/A"/>
    <s v="Corporate"/>
    <s v="V02"/>
    <s v="Fresh Produce Partners"/>
    <s v="Supply Chain"/>
  </r>
  <r>
    <n v="70"/>
    <s v="T0070"/>
    <x v="14"/>
    <s v="102"/>
    <x v="1"/>
    <s v="2000"/>
    <x v="9"/>
    <s v="Liability"/>
    <m/>
    <n v="37238.67"/>
    <s v="Food &amp; beverage inventory purchase"/>
    <s v="N/A"/>
    <s v="Corporate"/>
    <s v="V02"/>
    <s v="Fresh Produce Partners"/>
    <s v="Supply Chain"/>
  </r>
  <r>
    <n v="71"/>
    <s v="T0071"/>
    <x v="15"/>
    <s v="102"/>
    <x v="1"/>
    <s v="5000"/>
    <x v="10"/>
    <s v="Expense"/>
    <n v="35465.4"/>
    <m/>
    <s v="Cost of food sold - monthly usage"/>
    <s v="N/A"/>
    <s v="Corporate"/>
    <s v="V02"/>
    <s v="Fresh Produce Partners"/>
    <s v="Restaurant Ops"/>
  </r>
  <r>
    <n v="71"/>
    <s v="T0071"/>
    <x v="15"/>
    <s v="102"/>
    <x v="1"/>
    <s v="1020"/>
    <x v="8"/>
    <s v="Asset"/>
    <m/>
    <n v="35465.4"/>
    <s v="Cost of food sold - monthly usage"/>
    <s v="N/A"/>
    <s v="Corporate"/>
    <s v="V02"/>
    <s v="Fresh Produce Partners"/>
    <s v="Restaurant Ops"/>
  </r>
  <r>
    <n v="72"/>
    <s v="T0072"/>
    <x v="16"/>
    <s v="102"/>
    <x v="1"/>
    <s v="5010"/>
    <x v="11"/>
    <s v="Expense"/>
    <n v="30736.68"/>
    <m/>
    <s v="Bi-weekly payroll"/>
    <s v="Cash"/>
    <s v="Corporate"/>
    <m/>
    <m/>
    <s v="Human Resources"/>
  </r>
  <r>
    <n v="72"/>
    <s v="T0072"/>
    <x v="16"/>
    <s v="102"/>
    <x v="1"/>
    <s v="1000"/>
    <x v="0"/>
    <s v="Asset"/>
    <m/>
    <n v="30736.68"/>
    <s v="Bi-weekly payroll"/>
    <s v="Cash"/>
    <s v="Corporate"/>
    <m/>
    <m/>
    <s v="Human Resources"/>
  </r>
  <r>
    <n v="73"/>
    <s v="T0073"/>
    <x v="17"/>
    <s v="102"/>
    <x v="1"/>
    <s v="5020"/>
    <x v="12"/>
    <s v="Expense"/>
    <n v="9000"/>
    <m/>
    <s v="Monthly rent payment"/>
    <s v="Cash"/>
    <s v="Corporate"/>
    <s v="V08"/>
    <s v="Prime Property Management"/>
    <s v="Finance"/>
  </r>
  <r>
    <n v="73"/>
    <s v="T0073"/>
    <x v="17"/>
    <s v="102"/>
    <x v="1"/>
    <s v="1000"/>
    <x v="0"/>
    <s v="Asset"/>
    <m/>
    <n v="9000"/>
    <s v="Monthly rent payment"/>
    <s v="Cash"/>
    <s v="Corporate"/>
    <s v="V08"/>
    <s v="Prime Property Management"/>
    <s v="Finance"/>
  </r>
  <r>
    <n v="74"/>
    <s v="T0074"/>
    <x v="18"/>
    <s v="102"/>
    <x v="1"/>
    <s v="5030"/>
    <x v="13"/>
    <s v="Expense"/>
    <n v="2472"/>
    <m/>
    <s v="Monthly utilities payment"/>
    <s v="Cash"/>
    <s v="Corporate"/>
    <s v="V07"/>
    <s v="CityWide Utilities"/>
    <s v="Facilities"/>
  </r>
  <r>
    <n v="74"/>
    <s v="T0074"/>
    <x v="18"/>
    <s v="102"/>
    <x v="1"/>
    <s v="1000"/>
    <x v="0"/>
    <s v="Asset"/>
    <m/>
    <n v="2472"/>
    <s v="Monthly utilities payment"/>
    <s v="Cash"/>
    <s v="Corporate"/>
    <s v="V07"/>
    <s v="CityWide Utilities"/>
    <s v="Facilities"/>
  </r>
  <r>
    <n v="75"/>
    <s v="T0075"/>
    <x v="15"/>
    <s v="102"/>
    <x v="1"/>
    <s v="5050"/>
    <x v="14"/>
    <s v="Expense"/>
    <n v="2955.45"/>
    <m/>
    <s v="Credit card processing fees"/>
    <s v="Cash"/>
    <s v="Corporate"/>
    <m/>
    <m/>
    <s v="Finance"/>
  </r>
  <r>
    <n v="75"/>
    <s v="T0075"/>
    <x v="15"/>
    <s v="102"/>
    <x v="1"/>
    <s v="1000"/>
    <x v="0"/>
    <s v="Asset"/>
    <m/>
    <n v="2955.45"/>
    <s v="Credit card processing fees"/>
    <s v="Cash"/>
    <s v="Corporate"/>
    <m/>
    <m/>
    <s v="Finance"/>
  </r>
  <r>
    <n v="76"/>
    <s v="T0076"/>
    <x v="19"/>
    <s v="102"/>
    <x v="1"/>
    <s v="5060"/>
    <x v="15"/>
    <s v="Expense"/>
    <n v="3546.54"/>
    <m/>
    <s v="Local store marketing spend"/>
    <s v="Cash"/>
    <s v="Corporate"/>
    <s v="V09"/>
    <s v="BrightSign Marketing Agency"/>
    <s v="Marketing"/>
  </r>
  <r>
    <n v="76"/>
    <s v="T0076"/>
    <x v="19"/>
    <s v="102"/>
    <x v="1"/>
    <s v="1000"/>
    <x v="0"/>
    <s v="Asset"/>
    <m/>
    <n v="3546.54"/>
    <s v="Local store marketing spend"/>
    <s v="Cash"/>
    <s v="Corporate"/>
    <s v="V09"/>
    <s v="BrightSign Marketing Agency"/>
    <s v="Marketing"/>
  </r>
  <r>
    <n v="77"/>
    <s v="T0077"/>
    <x v="15"/>
    <s v="102"/>
    <x v="1"/>
    <s v="5070"/>
    <x v="16"/>
    <s v="Expense"/>
    <n v="4728.72"/>
    <m/>
    <s v="Monthly franchise fee to corporate"/>
    <s v="Cash"/>
    <s v="Corporate"/>
    <s v="V10"/>
    <s v="Trailhead Burger Co. - Corporate"/>
    <s v="Finance"/>
  </r>
  <r>
    <n v="77"/>
    <s v="T0077"/>
    <x v="15"/>
    <s v="102"/>
    <x v="1"/>
    <s v="1000"/>
    <x v="0"/>
    <s v="Asset"/>
    <m/>
    <n v="4728.72"/>
    <s v="Monthly franchise fee to corporate"/>
    <s v="Cash"/>
    <s v="Corporate"/>
    <s v="V10"/>
    <s v="Trailhead Burger Co. - Corporate"/>
    <s v="Finance"/>
  </r>
  <r>
    <n v="78"/>
    <s v="T0078"/>
    <x v="20"/>
    <s v="102"/>
    <x v="1"/>
    <s v="2000"/>
    <x v="9"/>
    <s v="Liability"/>
    <n v="31918.86"/>
    <m/>
    <s v="Payment on vendor account payable"/>
    <s v="Cash"/>
    <s v="Corporate"/>
    <s v="V02"/>
    <s v="Fresh Produce Partners"/>
    <s v="Finance"/>
  </r>
  <r>
    <n v="78"/>
    <s v="T0078"/>
    <x v="20"/>
    <s v="102"/>
    <x v="1"/>
    <s v="1000"/>
    <x v="0"/>
    <s v="Asset"/>
    <m/>
    <n v="31918.86"/>
    <s v="Payment on vendor account payable"/>
    <s v="Cash"/>
    <s v="Corporate"/>
    <s v="V02"/>
    <s v="Fresh Produce Partners"/>
    <s v="Finance"/>
  </r>
  <r>
    <n v="79"/>
    <s v="T0079"/>
    <x v="21"/>
    <s v="102"/>
    <x v="1"/>
    <s v="1000"/>
    <x v="0"/>
    <s v="Asset"/>
    <n v="98800"/>
    <m/>
    <s v="Weekly dine-in &amp; drive-thru sales"/>
    <s v="Cash"/>
    <s v="Dine-In"/>
    <m/>
    <m/>
    <s v="Restaurant Ops"/>
  </r>
  <r>
    <n v="79"/>
    <s v="T0079"/>
    <x v="21"/>
    <s v="102"/>
    <x v="1"/>
    <s v="4000"/>
    <x v="4"/>
    <s v="Revenue"/>
    <m/>
    <n v="98800"/>
    <s v="Weekly dine-in &amp; drive-thru sales"/>
    <s v="Cash"/>
    <s v="Dine-In"/>
    <m/>
    <m/>
    <s v="Restaurant Ops"/>
  </r>
  <r>
    <n v="80"/>
    <s v="T0080"/>
    <x v="22"/>
    <s v="102"/>
    <x v="1"/>
    <s v="1010"/>
    <x v="5"/>
    <s v="Asset"/>
    <n v="21736"/>
    <m/>
    <s v="Delivery sales via QuickDash"/>
    <s v="Delivery Platform Settlement"/>
    <s v="Delivery"/>
    <s v="V05"/>
    <s v="QuickDash Delivery Platform"/>
    <s v="Restaurant Ops"/>
  </r>
  <r>
    <n v="80"/>
    <s v="T0080"/>
    <x v="22"/>
    <s v="102"/>
    <x v="1"/>
    <s v="4010"/>
    <x v="6"/>
    <s v="Revenue"/>
    <m/>
    <n v="21736"/>
    <s v="Delivery sales via QuickDash"/>
    <s v="Delivery Platform Settlement"/>
    <s v="Delivery"/>
    <s v="V05"/>
    <s v="QuickDash Delivery Platform"/>
    <s v="Restaurant Ops"/>
  </r>
  <r>
    <n v="81"/>
    <s v="T0081"/>
    <x v="23"/>
    <s v="102"/>
    <x v="1"/>
    <s v="1000"/>
    <x v="0"/>
    <s v="Asset"/>
    <n v="21736"/>
    <m/>
    <s v="Collection of delivery platform settlement"/>
    <s v="Delivery Platform Settlement"/>
    <s v="Delivery"/>
    <s v="V05"/>
    <s v="QuickDash Delivery Platform"/>
    <s v="Restaurant Ops"/>
  </r>
  <r>
    <n v="81"/>
    <s v="T0081"/>
    <x v="23"/>
    <s v="102"/>
    <x v="1"/>
    <s v="1010"/>
    <x v="5"/>
    <s v="Asset"/>
    <m/>
    <n v="21736"/>
    <s v="Collection of delivery platform settlement"/>
    <s v="Delivery Platform Settlement"/>
    <s v="Delivery"/>
    <s v="V05"/>
    <s v="QuickDash Delivery Platform"/>
    <s v="Restaurant Ops"/>
  </r>
  <r>
    <n v="82"/>
    <s v="T0082"/>
    <x v="23"/>
    <s v="102"/>
    <x v="1"/>
    <s v="5040"/>
    <x v="7"/>
    <s v="Expense"/>
    <n v="3260.4"/>
    <m/>
    <s v="Delivery platform commission fee"/>
    <s v="Cash"/>
    <s v="Delivery"/>
    <s v="V05"/>
    <s v="QuickDash Delivery Platform"/>
    <s v="Restaurant Ops"/>
  </r>
  <r>
    <n v="82"/>
    <s v="T0082"/>
    <x v="23"/>
    <s v="102"/>
    <x v="1"/>
    <s v="1000"/>
    <x v="0"/>
    <s v="Asset"/>
    <m/>
    <n v="3260.4"/>
    <s v="Delivery platform commission fee"/>
    <s v="Cash"/>
    <s v="Delivery"/>
    <s v="V05"/>
    <s v="QuickDash Delivery Platform"/>
    <s v="Restaurant Ops"/>
  </r>
  <r>
    <n v="83"/>
    <s v="T0083"/>
    <x v="24"/>
    <s v="102"/>
    <x v="1"/>
    <s v="1020"/>
    <x v="8"/>
    <s v="Asset"/>
    <n v="37968.839999999997"/>
    <m/>
    <s v="Food &amp; beverage inventory purchase"/>
    <s v="N/A"/>
    <s v="Corporate"/>
    <s v="V01"/>
    <s v="Gulf Coast Meat Supply"/>
    <s v="Supply Chain"/>
  </r>
  <r>
    <n v="83"/>
    <s v="T0083"/>
    <x v="24"/>
    <s v="102"/>
    <x v="1"/>
    <s v="2000"/>
    <x v="9"/>
    <s v="Liability"/>
    <m/>
    <n v="37968.839999999997"/>
    <s v="Food &amp; beverage inventory purchase"/>
    <s v="N/A"/>
    <s v="Corporate"/>
    <s v="V01"/>
    <s v="Gulf Coast Meat Supply"/>
    <s v="Supply Chain"/>
  </r>
  <r>
    <n v="84"/>
    <s v="T0084"/>
    <x v="25"/>
    <s v="102"/>
    <x v="1"/>
    <s v="5000"/>
    <x v="10"/>
    <s v="Expense"/>
    <n v="36160.800000000003"/>
    <m/>
    <s v="Cost of food sold - monthly usage"/>
    <s v="N/A"/>
    <s v="Corporate"/>
    <s v="V01"/>
    <s v="Gulf Coast Meat Supply"/>
    <s v="Restaurant Ops"/>
  </r>
  <r>
    <n v="84"/>
    <s v="T0084"/>
    <x v="25"/>
    <s v="102"/>
    <x v="1"/>
    <s v="1020"/>
    <x v="8"/>
    <s v="Asset"/>
    <m/>
    <n v="36160.800000000003"/>
    <s v="Cost of food sold - monthly usage"/>
    <s v="N/A"/>
    <s v="Corporate"/>
    <s v="V01"/>
    <s v="Gulf Coast Meat Supply"/>
    <s v="Restaurant Ops"/>
  </r>
  <r>
    <n v="85"/>
    <s v="T0085"/>
    <x v="26"/>
    <s v="102"/>
    <x v="1"/>
    <s v="5010"/>
    <x v="11"/>
    <s v="Expense"/>
    <n v="31339.360000000001"/>
    <m/>
    <s v="Bi-weekly payroll"/>
    <s v="Cash"/>
    <s v="Corporate"/>
    <m/>
    <m/>
    <s v="Human Resources"/>
  </r>
  <r>
    <n v="85"/>
    <s v="T0085"/>
    <x v="26"/>
    <s v="102"/>
    <x v="1"/>
    <s v="1000"/>
    <x v="0"/>
    <s v="Asset"/>
    <m/>
    <n v="31339.360000000001"/>
    <s v="Bi-weekly payroll"/>
    <s v="Cash"/>
    <s v="Corporate"/>
    <m/>
    <m/>
    <s v="Human Resources"/>
  </r>
  <r>
    <n v="86"/>
    <s v="T0086"/>
    <x v="27"/>
    <s v="102"/>
    <x v="1"/>
    <s v="5020"/>
    <x v="12"/>
    <s v="Expense"/>
    <n v="9000"/>
    <m/>
    <s v="Monthly rent payment"/>
    <s v="Cash"/>
    <s v="Corporate"/>
    <s v="V08"/>
    <s v="Prime Property Management"/>
    <s v="Finance"/>
  </r>
  <r>
    <n v="86"/>
    <s v="T0086"/>
    <x v="27"/>
    <s v="102"/>
    <x v="1"/>
    <s v="1000"/>
    <x v="0"/>
    <s v="Asset"/>
    <m/>
    <n v="9000"/>
    <s v="Monthly rent payment"/>
    <s v="Cash"/>
    <s v="Corporate"/>
    <s v="V08"/>
    <s v="Prime Property Management"/>
    <s v="Finance"/>
  </r>
  <r>
    <n v="87"/>
    <s v="T0087"/>
    <x v="28"/>
    <s v="102"/>
    <x v="1"/>
    <s v="5030"/>
    <x v="13"/>
    <s v="Expense"/>
    <n v="2544"/>
    <m/>
    <s v="Monthly utilities payment"/>
    <s v="Cash"/>
    <s v="Corporate"/>
    <s v="V07"/>
    <s v="CityWide Utilities"/>
    <s v="Facilities"/>
  </r>
  <r>
    <n v="87"/>
    <s v="T0087"/>
    <x v="28"/>
    <s v="102"/>
    <x v="1"/>
    <s v="1000"/>
    <x v="0"/>
    <s v="Asset"/>
    <m/>
    <n v="2544"/>
    <s v="Monthly utilities payment"/>
    <s v="Cash"/>
    <s v="Corporate"/>
    <s v="V07"/>
    <s v="CityWide Utilities"/>
    <s v="Facilities"/>
  </r>
  <r>
    <n v="88"/>
    <s v="T0088"/>
    <x v="25"/>
    <s v="102"/>
    <x v="1"/>
    <s v="5050"/>
    <x v="14"/>
    <s v="Expense"/>
    <n v="3013.4"/>
    <m/>
    <s v="Credit card processing fees"/>
    <s v="Cash"/>
    <s v="Corporate"/>
    <m/>
    <m/>
    <s v="Finance"/>
  </r>
  <r>
    <n v="88"/>
    <s v="T0088"/>
    <x v="25"/>
    <s v="102"/>
    <x v="1"/>
    <s v="1000"/>
    <x v="0"/>
    <s v="Asset"/>
    <m/>
    <n v="3013.4"/>
    <s v="Credit card processing fees"/>
    <s v="Cash"/>
    <s v="Corporate"/>
    <m/>
    <m/>
    <s v="Finance"/>
  </r>
  <r>
    <n v="89"/>
    <s v="T0089"/>
    <x v="29"/>
    <s v="102"/>
    <x v="1"/>
    <s v="5060"/>
    <x v="15"/>
    <s v="Expense"/>
    <n v="3616.08"/>
    <m/>
    <s v="Local store marketing spend"/>
    <s v="Cash"/>
    <s v="Corporate"/>
    <s v="V09"/>
    <s v="BrightSign Marketing Agency"/>
    <s v="Marketing"/>
  </r>
  <r>
    <n v="89"/>
    <s v="T0089"/>
    <x v="29"/>
    <s v="102"/>
    <x v="1"/>
    <s v="1000"/>
    <x v="0"/>
    <s v="Asset"/>
    <m/>
    <n v="3616.08"/>
    <s v="Local store marketing spend"/>
    <s v="Cash"/>
    <s v="Corporate"/>
    <s v="V09"/>
    <s v="BrightSign Marketing Agency"/>
    <s v="Marketing"/>
  </r>
  <r>
    <n v="90"/>
    <s v="T0090"/>
    <x v="30"/>
    <s v="102"/>
    <x v="1"/>
    <s v="5070"/>
    <x v="16"/>
    <s v="Expense"/>
    <n v="4821.4399999999996"/>
    <m/>
    <s v="Monthly franchise fee to corporate"/>
    <s v="Cash"/>
    <s v="Corporate"/>
    <s v="V10"/>
    <s v="Trailhead Burger Co. - Corporate"/>
    <s v="Finance"/>
  </r>
  <r>
    <n v="90"/>
    <s v="T0090"/>
    <x v="30"/>
    <s v="102"/>
    <x v="1"/>
    <s v="1000"/>
    <x v="0"/>
    <s v="Asset"/>
    <m/>
    <n v="4821.4399999999996"/>
    <s v="Monthly franchise fee to corporate"/>
    <s v="Cash"/>
    <s v="Corporate"/>
    <s v="V10"/>
    <s v="Trailhead Burger Co. - Corporate"/>
    <s v="Finance"/>
  </r>
  <r>
    <n v="91"/>
    <s v="T0091"/>
    <x v="31"/>
    <s v="102"/>
    <x v="1"/>
    <s v="2000"/>
    <x v="9"/>
    <s v="Liability"/>
    <n v="32544.720000000001"/>
    <m/>
    <s v="Payment on vendor account payable"/>
    <s v="Cash"/>
    <s v="Corporate"/>
    <s v="V01"/>
    <s v="Gulf Coast Meat Supply"/>
    <s v="Finance"/>
  </r>
  <r>
    <n v="91"/>
    <s v="T0091"/>
    <x v="31"/>
    <s v="102"/>
    <x v="1"/>
    <s v="1000"/>
    <x v="0"/>
    <s v="Asset"/>
    <m/>
    <n v="32544.720000000001"/>
    <s v="Payment on vendor account payable"/>
    <s v="Cash"/>
    <s v="Corporate"/>
    <s v="V01"/>
    <s v="Gulf Coast Meat Supply"/>
    <s v="Finance"/>
  </r>
  <r>
    <n v="92"/>
    <s v="T0092"/>
    <x v="1"/>
    <s v="103"/>
    <x v="2"/>
    <s v="1000"/>
    <x v="0"/>
    <s v="Asset"/>
    <n v="80000"/>
    <m/>
    <s v="Weekly dine-in &amp; drive-thru sales"/>
    <s v="Cash"/>
    <s v="Dine-In"/>
    <m/>
    <m/>
    <s v="Restaurant Ops"/>
  </r>
  <r>
    <n v="92"/>
    <s v="T0092"/>
    <x v="1"/>
    <s v="103"/>
    <x v="2"/>
    <s v="4000"/>
    <x v="4"/>
    <s v="Revenue"/>
    <m/>
    <n v="80000"/>
    <s v="Weekly dine-in &amp; drive-thru sales"/>
    <s v="Cash"/>
    <s v="Dine-In"/>
    <m/>
    <m/>
    <s v="Restaurant Ops"/>
  </r>
  <r>
    <n v="93"/>
    <s v="T0093"/>
    <x v="2"/>
    <s v="103"/>
    <x v="2"/>
    <s v="1010"/>
    <x v="5"/>
    <s v="Asset"/>
    <n v="17600"/>
    <m/>
    <s v="Delivery sales via QuickDash"/>
    <s v="Delivery Platform Settlement"/>
    <s v="Delivery"/>
    <s v="V05"/>
    <s v="QuickDash Delivery Platform"/>
    <s v="Restaurant Ops"/>
  </r>
  <r>
    <n v="93"/>
    <s v="T0093"/>
    <x v="2"/>
    <s v="103"/>
    <x v="2"/>
    <s v="4010"/>
    <x v="6"/>
    <s v="Revenue"/>
    <m/>
    <n v="17600"/>
    <s v="Delivery sales via QuickDash"/>
    <s v="Delivery Platform Settlement"/>
    <s v="Delivery"/>
    <s v="V05"/>
    <s v="QuickDash Delivery Platform"/>
    <s v="Restaurant Ops"/>
  </r>
  <r>
    <n v="94"/>
    <s v="T0094"/>
    <x v="3"/>
    <s v="103"/>
    <x v="2"/>
    <s v="1000"/>
    <x v="0"/>
    <s v="Asset"/>
    <n v="17600"/>
    <m/>
    <s v="Collection of delivery platform settlement"/>
    <s v="Delivery Platform Settlement"/>
    <s v="Delivery"/>
    <s v="V05"/>
    <s v="QuickDash Delivery Platform"/>
    <s v="Restaurant Ops"/>
  </r>
  <r>
    <n v="94"/>
    <s v="T0094"/>
    <x v="3"/>
    <s v="103"/>
    <x v="2"/>
    <s v="1010"/>
    <x v="5"/>
    <s v="Asset"/>
    <m/>
    <n v="17600"/>
    <s v="Collection of delivery platform settlement"/>
    <s v="Delivery Platform Settlement"/>
    <s v="Delivery"/>
    <s v="V05"/>
    <s v="QuickDash Delivery Platform"/>
    <s v="Restaurant Ops"/>
  </r>
  <r>
    <n v="95"/>
    <s v="T0095"/>
    <x v="3"/>
    <s v="103"/>
    <x v="2"/>
    <s v="5040"/>
    <x v="7"/>
    <s v="Expense"/>
    <n v="2640"/>
    <m/>
    <s v="Delivery platform commission fee"/>
    <s v="Cash"/>
    <s v="Delivery"/>
    <s v="V05"/>
    <s v="QuickDash Delivery Platform"/>
    <s v="Restaurant Ops"/>
  </r>
  <r>
    <n v="95"/>
    <s v="T0095"/>
    <x v="3"/>
    <s v="103"/>
    <x v="2"/>
    <s v="1000"/>
    <x v="0"/>
    <s v="Asset"/>
    <m/>
    <n v="2640"/>
    <s v="Delivery platform commission fee"/>
    <s v="Cash"/>
    <s v="Delivery"/>
    <s v="V05"/>
    <s v="QuickDash Delivery Platform"/>
    <s v="Restaurant Ops"/>
  </r>
  <r>
    <n v="96"/>
    <s v="T0096"/>
    <x v="4"/>
    <s v="103"/>
    <x v="2"/>
    <s v="1020"/>
    <x v="8"/>
    <s v="Asset"/>
    <n v="30744"/>
    <m/>
    <s v="Food &amp; beverage inventory purchase"/>
    <s v="N/A"/>
    <s v="Corporate"/>
    <s v="V01"/>
    <s v="Gulf Coast Meat Supply"/>
    <s v="Supply Chain"/>
  </r>
  <r>
    <n v="96"/>
    <s v="T0096"/>
    <x v="4"/>
    <s v="103"/>
    <x v="2"/>
    <s v="2000"/>
    <x v="9"/>
    <s v="Liability"/>
    <m/>
    <n v="30744"/>
    <s v="Food &amp; beverage inventory purchase"/>
    <s v="N/A"/>
    <s v="Corporate"/>
    <s v="V01"/>
    <s v="Gulf Coast Meat Supply"/>
    <s v="Supply Chain"/>
  </r>
  <r>
    <n v="97"/>
    <s v="T0097"/>
    <x v="5"/>
    <s v="103"/>
    <x v="2"/>
    <s v="5000"/>
    <x v="10"/>
    <s v="Expense"/>
    <n v="29280"/>
    <m/>
    <s v="Cost of food sold - monthly usage"/>
    <s v="N/A"/>
    <s v="Corporate"/>
    <s v="V01"/>
    <s v="Gulf Coast Meat Supply"/>
    <s v="Restaurant Ops"/>
  </r>
  <r>
    <n v="97"/>
    <s v="T0097"/>
    <x v="5"/>
    <s v="103"/>
    <x v="2"/>
    <s v="1020"/>
    <x v="8"/>
    <s v="Asset"/>
    <m/>
    <n v="29280"/>
    <s v="Cost of food sold - monthly usage"/>
    <s v="N/A"/>
    <s v="Corporate"/>
    <s v="V01"/>
    <s v="Gulf Coast Meat Supply"/>
    <s v="Restaurant Ops"/>
  </r>
  <r>
    <n v="98"/>
    <s v="T0098"/>
    <x v="6"/>
    <s v="103"/>
    <x v="2"/>
    <s v="5010"/>
    <x v="11"/>
    <s v="Expense"/>
    <n v="25376"/>
    <m/>
    <s v="Bi-weekly payroll"/>
    <s v="Cash"/>
    <s v="Corporate"/>
    <m/>
    <m/>
    <s v="Human Resources"/>
  </r>
  <r>
    <n v="98"/>
    <s v="T0098"/>
    <x v="6"/>
    <s v="103"/>
    <x v="2"/>
    <s v="1000"/>
    <x v="0"/>
    <s v="Asset"/>
    <m/>
    <n v="25376"/>
    <s v="Bi-weekly payroll"/>
    <s v="Cash"/>
    <s v="Corporate"/>
    <m/>
    <m/>
    <s v="Human Resources"/>
  </r>
  <r>
    <n v="99"/>
    <s v="T0099"/>
    <x v="7"/>
    <s v="103"/>
    <x v="2"/>
    <s v="5020"/>
    <x v="12"/>
    <s v="Expense"/>
    <n v="7500"/>
    <m/>
    <s v="Monthly rent payment"/>
    <s v="Cash"/>
    <s v="Corporate"/>
    <s v="V08"/>
    <s v="Prime Property Management"/>
    <s v="Finance"/>
  </r>
  <r>
    <n v="99"/>
    <s v="T0099"/>
    <x v="7"/>
    <s v="103"/>
    <x v="2"/>
    <s v="1000"/>
    <x v="0"/>
    <s v="Asset"/>
    <m/>
    <n v="7500"/>
    <s v="Monthly rent payment"/>
    <s v="Cash"/>
    <s v="Corporate"/>
    <s v="V08"/>
    <s v="Prime Property Management"/>
    <s v="Finance"/>
  </r>
  <r>
    <n v="100"/>
    <s v="T0100"/>
    <x v="8"/>
    <s v="103"/>
    <x v="2"/>
    <s v="5030"/>
    <x v="13"/>
    <s v="Expense"/>
    <n v="2100"/>
    <m/>
    <s v="Monthly utilities payment"/>
    <s v="Cash"/>
    <s v="Corporate"/>
    <s v="V07"/>
    <s v="CityWide Utilities"/>
    <s v="Facilities"/>
  </r>
  <r>
    <n v="100"/>
    <s v="T0100"/>
    <x v="8"/>
    <s v="103"/>
    <x v="2"/>
    <s v="1000"/>
    <x v="0"/>
    <s v="Asset"/>
    <m/>
    <n v="2100"/>
    <s v="Monthly utilities payment"/>
    <s v="Cash"/>
    <s v="Corporate"/>
    <s v="V07"/>
    <s v="CityWide Utilities"/>
    <s v="Facilities"/>
  </r>
  <r>
    <n v="101"/>
    <s v="T0101"/>
    <x v="5"/>
    <s v="103"/>
    <x v="2"/>
    <s v="5050"/>
    <x v="14"/>
    <s v="Expense"/>
    <n v="2440"/>
    <m/>
    <s v="Credit card processing fees"/>
    <s v="Cash"/>
    <s v="Corporate"/>
    <m/>
    <m/>
    <s v="Finance"/>
  </r>
  <r>
    <n v="101"/>
    <s v="T0101"/>
    <x v="5"/>
    <s v="103"/>
    <x v="2"/>
    <s v="1000"/>
    <x v="0"/>
    <s v="Asset"/>
    <m/>
    <n v="2440"/>
    <s v="Credit card processing fees"/>
    <s v="Cash"/>
    <s v="Corporate"/>
    <m/>
    <m/>
    <s v="Finance"/>
  </r>
  <r>
    <n v="102"/>
    <s v="T0102"/>
    <x v="9"/>
    <s v="103"/>
    <x v="2"/>
    <s v="5060"/>
    <x v="15"/>
    <s v="Expense"/>
    <n v="2928"/>
    <m/>
    <s v="Local store marketing spend"/>
    <s v="Cash"/>
    <s v="Corporate"/>
    <s v="V09"/>
    <s v="BrightSign Marketing Agency"/>
    <s v="Marketing"/>
  </r>
  <r>
    <n v="102"/>
    <s v="T0102"/>
    <x v="9"/>
    <s v="103"/>
    <x v="2"/>
    <s v="1000"/>
    <x v="0"/>
    <s v="Asset"/>
    <m/>
    <n v="2928"/>
    <s v="Local store marketing spend"/>
    <s v="Cash"/>
    <s v="Corporate"/>
    <s v="V09"/>
    <s v="BrightSign Marketing Agency"/>
    <s v="Marketing"/>
  </r>
  <r>
    <n v="103"/>
    <s v="T0103"/>
    <x v="10"/>
    <s v="103"/>
    <x v="2"/>
    <s v="5070"/>
    <x v="16"/>
    <s v="Expense"/>
    <n v="3904"/>
    <m/>
    <s v="Monthly franchise fee to corporate"/>
    <s v="Cash"/>
    <s v="Corporate"/>
    <s v="V10"/>
    <s v="Trailhead Burger Co. - Corporate"/>
    <s v="Finance"/>
  </r>
  <r>
    <n v="103"/>
    <s v="T0103"/>
    <x v="10"/>
    <s v="103"/>
    <x v="2"/>
    <s v="1000"/>
    <x v="0"/>
    <s v="Asset"/>
    <m/>
    <n v="3904"/>
    <s v="Monthly franchise fee to corporate"/>
    <s v="Cash"/>
    <s v="Corporate"/>
    <s v="V10"/>
    <s v="Trailhead Burger Co. - Corporate"/>
    <s v="Finance"/>
  </r>
  <r>
    <n v="104"/>
    <s v="T0104"/>
    <x v="11"/>
    <s v="103"/>
    <x v="2"/>
    <s v="1000"/>
    <x v="0"/>
    <s v="Asset"/>
    <n v="81600"/>
    <m/>
    <s v="Weekly dine-in &amp; drive-thru sales"/>
    <s v="Cash"/>
    <s v="Dine-In"/>
    <m/>
    <m/>
    <s v="Restaurant Ops"/>
  </r>
  <r>
    <n v="104"/>
    <s v="T0104"/>
    <x v="11"/>
    <s v="103"/>
    <x v="2"/>
    <s v="4000"/>
    <x v="4"/>
    <s v="Revenue"/>
    <m/>
    <n v="81600"/>
    <s v="Weekly dine-in &amp; drive-thru sales"/>
    <s v="Cash"/>
    <s v="Dine-In"/>
    <m/>
    <m/>
    <s v="Restaurant Ops"/>
  </r>
  <r>
    <n v="105"/>
    <s v="T0105"/>
    <x v="12"/>
    <s v="103"/>
    <x v="2"/>
    <s v="1010"/>
    <x v="5"/>
    <s v="Asset"/>
    <n v="17952"/>
    <m/>
    <s v="Delivery sales via QuickDash"/>
    <s v="Delivery Platform Settlement"/>
    <s v="Delivery"/>
    <s v="V05"/>
    <s v="QuickDash Delivery Platform"/>
    <s v="Restaurant Ops"/>
  </r>
  <r>
    <n v="105"/>
    <s v="T0105"/>
    <x v="12"/>
    <s v="103"/>
    <x v="2"/>
    <s v="4010"/>
    <x v="6"/>
    <s v="Revenue"/>
    <m/>
    <n v="17952"/>
    <s v="Delivery sales via QuickDash"/>
    <s v="Delivery Platform Settlement"/>
    <s v="Delivery"/>
    <s v="V05"/>
    <s v="QuickDash Delivery Platform"/>
    <s v="Restaurant Ops"/>
  </r>
  <r>
    <n v="106"/>
    <s v="T0106"/>
    <x v="13"/>
    <s v="103"/>
    <x v="2"/>
    <s v="1000"/>
    <x v="0"/>
    <s v="Asset"/>
    <n v="17952"/>
    <m/>
    <s v="Collection of delivery platform settlement"/>
    <s v="Delivery Platform Settlement"/>
    <s v="Delivery"/>
    <s v="V05"/>
    <s v="QuickDash Delivery Platform"/>
    <s v="Restaurant Ops"/>
  </r>
  <r>
    <n v="106"/>
    <s v="T0106"/>
    <x v="13"/>
    <s v="103"/>
    <x v="2"/>
    <s v="1010"/>
    <x v="5"/>
    <s v="Asset"/>
    <m/>
    <n v="17952"/>
    <s v="Collection of delivery platform settlement"/>
    <s v="Delivery Platform Settlement"/>
    <s v="Delivery"/>
    <s v="V05"/>
    <s v="QuickDash Delivery Platform"/>
    <s v="Restaurant Ops"/>
  </r>
  <r>
    <n v="107"/>
    <s v="T0107"/>
    <x v="13"/>
    <s v="103"/>
    <x v="2"/>
    <s v="5040"/>
    <x v="7"/>
    <s v="Expense"/>
    <n v="2692.8"/>
    <m/>
    <s v="Delivery platform commission fee"/>
    <s v="Cash"/>
    <s v="Delivery"/>
    <s v="V05"/>
    <s v="QuickDash Delivery Platform"/>
    <s v="Restaurant Ops"/>
  </r>
  <r>
    <n v="107"/>
    <s v="T0107"/>
    <x v="13"/>
    <s v="103"/>
    <x v="2"/>
    <s v="1000"/>
    <x v="0"/>
    <s v="Asset"/>
    <m/>
    <n v="2692.8"/>
    <s v="Delivery platform commission fee"/>
    <s v="Cash"/>
    <s v="Delivery"/>
    <s v="V05"/>
    <s v="QuickDash Delivery Platform"/>
    <s v="Restaurant Ops"/>
  </r>
  <r>
    <n v="108"/>
    <s v="T0108"/>
    <x v="14"/>
    <s v="103"/>
    <x v="2"/>
    <s v="1020"/>
    <x v="8"/>
    <s v="Asset"/>
    <n v="31358.880000000001"/>
    <m/>
    <s v="Food &amp; beverage inventory purchase"/>
    <s v="N/A"/>
    <s v="Corporate"/>
    <s v="V02"/>
    <s v="Fresh Produce Partners"/>
    <s v="Supply Chain"/>
  </r>
  <r>
    <n v="108"/>
    <s v="T0108"/>
    <x v="14"/>
    <s v="103"/>
    <x v="2"/>
    <s v="2000"/>
    <x v="9"/>
    <s v="Liability"/>
    <m/>
    <n v="31358.880000000001"/>
    <s v="Food &amp; beverage inventory purchase"/>
    <s v="N/A"/>
    <s v="Corporate"/>
    <s v="V02"/>
    <s v="Fresh Produce Partners"/>
    <s v="Supply Chain"/>
  </r>
  <r>
    <n v="109"/>
    <s v="T0109"/>
    <x v="15"/>
    <s v="103"/>
    <x v="2"/>
    <s v="5000"/>
    <x v="10"/>
    <s v="Expense"/>
    <n v="29865.599999999999"/>
    <m/>
    <s v="Cost of food sold - monthly usage"/>
    <s v="N/A"/>
    <s v="Corporate"/>
    <s v="V02"/>
    <s v="Fresh Produce Partners"/>
    <s v="Restaurant Ops"/>
  </r>
  <r>
    <n v="109"/>
    <s v="T0109"/>
    <x v="15"/>
    <s v="103"/>
    <x v="2"/>
    <s v="1020"/>
    <x v="8"/>
    <s v="Asset"/>
    <m/>
    <n v="29865.599999999999"/>
    <s v="Cost of food sold - monthly usage"/>
    <s v="N/A"/>
    <s v="Corporate"/>
    <s v="V02"/>
    <s v="Fresh Produce Partners"/>
    <s v="Restaurant Ops"/>
  </r>
  <r>
    <n v="110"/>
    <s v="T0110"/>
    <x v="16"/>
    <s v="103"/>
    <x v="2"/>
    <s v="5010"/>
    <x v="11"/>
    <s v="Expense"/>
    <n v="25883.52"/>
    <m/>
    <s v="Bi-weekly payroll"/>
    <s v="Cash"/>
    <s v="Corporate"/>
    <m/>
    <m/>
    <s v="Human Resources"/>
  </r>
  <r>
    <n v="110"/>
    <s v="T0110"/>
    <x v="16"/>
    <s v="103"/>
    <x v="2"/>
    <s v="1000"/>
    <x v="0"/>
    <s v="Asset"/>
    <m/>
    <n v="25883.52"/>
    <s v="Bi-weekly payroll"/>
    <s v="Cash"/>
    <s v="Corporate"/>
    <m/>
    <m/>
    <s v="Human Resources"/>
  </r>
  <r>
    <n v="111"/>
    <s v="T0111"/>
    <x v="17"/>
    <s v="103"/>
    <x v="2"/>
    <s v="5020"/>
    <x v="12"/>
    <s v="Expense"/>
    <n v="7500"/>
    <m/>
    <s v="Monthly rent payment"/>
    <s v="Cash"/>
    <s v="Corporate"/>
    <s v="V08"/>
    <s v="Prime Property Management"/>
    <s v="Finance"/>
  </r>
  <r>
    <n v="111"/>
    <s v="T0111"/>
    <x v="17"/>
    <s v="103"/>
    <x v="2"/>
    <s v="1000"/>
    <x v="0"/>
    <s v="Asset"/>
    <m/>
    <n v="7500"/>
    <s v="Monthly rent payment"/>
    <s v="Cash"/>
    <s v="Corporate"/>
    <s v="V08"/>
    <s v="Prime Property Management"/>
    <s v="Finance"/>
  </r>
  <r>
    <n v="112"/>
    <s v="T0112"/>
    <x v="18"/>
    <s v="103"/>
    <x v="2"/>
    <s v="5030"/>
    <x v="13"/>
    <s v="Expense"/>
    <n v="2163"/>
    <m/>
    <s v="Monthly utilities payment"/>
    <s v="Cash"/>
    <s v="Corporate"/>
    <s v="V07"/>
    <s v="CityWide Utilities"/>
    <s v="Facilities"/>
  </r>
  <r>
    <n v="112"/>
    <s v="T0112"/>
    <x v="18"/>
    <s v="103"/>
    <x v="2"/>
    <s v="1000"/>
    <x v="0"/>
    <s v="Asset"/>
    <m/>
    <n v="2163"/>
    <s v="Monthly utilities payment"/>
    <s v="Cash"/>
    <s v="Corporate"/>
    <s v="V07"/>
    <s v="CityWide Utilities"/>
    <s v="Facilities"/>
  </r>
  <r>
    <n v="113"/>
    <s v="T0113"/>
    <x v="15"/>
    <s v="103"/>
    <x v="2"/>
    <s v="5050"/>
    <x v="14"/>
    <s v="Expense"/>
    <n v="2488.8000000000002"/>
    <m/>
    <s v="Credit card processing fees"/>
    <s v="Cash"/>
    <s v="Corporate"/>
    <m/>
    <m/>
    <s v="Finance"/>
  </r>
  <r>
    <n v="113"/>
    <s v="T0113"/>
    <x v="15"/>
    <s v="103"/>
    <x v="2"/>
    <s v="1000"/>
    <x v="0"/>
    <s v="Asset"/>
    <m/>
    <n v="2488.8000000000002"/>
    <s v="Credit card processing fees"/>
    <s v="Cash"/>
    <s v="Corporate"/>
    <m/>
    <m/>
    <s v="Finance"/>
  </r>
  <r>
    <n v="114"/>
    <s v="T0114"/>
    <x v="19"/>
    <s v="103"/>
    <x v="2"/>
    <s v="5060"/>
    <x v="15"/>
    <s v="Expense"/>
    <n v="2986.56"/>
    <m/>
    <s v="Local store marketing spend"/>
    <s v="Cash"/>
    <s v="Corporate"/>
    <s v="V09"/>
    <s v="BrightSign Marketing Agency"/>
    <s v="Marketing"/>
  </r>
  <r>
    <n v="114"/>
    <s v="T0114"/>
    <x v="19"/>
    <s v="103"/>
    <x v="2"/>
    <s v="1000"/>
    <x v="0"/>
    <s v="Asset"/>
    <m/>
    <n v="2986.56"/>
    <s v="Local store marketing spend"/>
    <s v="Cash"/>
    <s v="Corporate"/>
    <s v="V09"/>
    <s v="BrightSign Marketing Agency"/>
    <s v="Marketing"/>
  </r>
  <r>
    <n v="115"/>
    <s v="T0115"/>
    <x v="15"/>
    <s v="103"/>
    <x v="2"/>
    <s v="5070"/>
    <x v="16"/>
    <s v="Expense"/>
    <n v="3982.08"/>
    <m/>
    <s v="Monthly franchise fee to corporate"/>
    <s v="Cash"/>
    <s v="Corporate"/>
    <s v="V10"/>
    <s v="Trailhead Burger Co. - Corporate"/>
    <s v="Finance"/>
  </r>
  <r>
    <n v="115"/>
    <s v="T0115"/>
    <x v="15"/>
    <s v="103"/>
    <x v="2"/>
    <s v="1000"/>
    <x v="0"/>
    <s v="Asset"/>
    <m/>
    <n v="3982.08"/>
    <s v="Monthly franchise fee to corporate"/>
    <s v="Cash"/>
    <s v="Corporate"/>
    <s v="V10"/>
    <s v="Trailhead Burger Co. - Corporate"/>
    <s v="Finance"/>
  </r>
  <r>
    <n v="116"/>
    <s v="T0116"/>
    <x v="20"/>
    <s v="103"/>
    <x v="2"/>
    <s v="2000"/>
    <x v="9"/>
    <s v="Liability"/>
    <n v="26879.040000000001"/>
    <m/>
    <s v="Payment on vendor account payable"/>
    <s v="Cash"/>
    <s v="Corporate"/>
    <s v="V02"/>
    <s v="Fresh Produce Partners"/>
    <s v="Finance"/>
  </r>
  <r>
    <n v="116"/>
    <s v="T0116"/>
    <x v="20"/>
    <s v="103"/>
    <x v="2"/>
    <s v="1000"/>
    <x v="0"/>
    <s v="Asset"/>
    <m/>
    <n v="26879.040000000001"/>
    <s v="Payment on vendor account payable"/>
    <s v="Cash"/>
    <s v="Corporate"/>
    <s v="V02"/>
    <s v="Fresh Produce Partners"/>
    <s v="Finance"/>
  </r>
  <r>
    <n v="117"/>
    <s v="T0117"/>
    <x v="21"/>
    <s v="103"/>
    <x v="2"/>
    <s v="1000"/>
    <x v="0"/>
    <s v="Asset"/>
    <n v="83200"/>
    <m/>
    <s v="Weekly dine-in &amp; drive-thru sales"/>
    <s v="Cash"/>
    <s v="Dine-In"/>
    <m/>
    <m/>
    <s v="Restaurant Ops"/>
  </r>
  <r>
    <n v="117"/>
    <s v="T0117"/>
    <x v="21"/>
    <s v="103"/>
    <x v="2"/>
    <s v="4000"/>
    <x v="4"/>
    <s v="Revenue"/>
    <m/>
    <n v="83200"/>
    <s v="Weekly dine-in &amp; drive-thru sales"/>
    <s v="Cash"/>
    <s v="Dine-In"/>
    <m/>
    <m/>
    <s v="Restaurant Ops"/>
  </r>
  <r>
    <n v="118"/>
    <s v="T0118"/>
    <x v="22"/>
    <s v="103"/>
    <x v="2"/>
    <s v="1010"/>
    <x v="5"/>
    <s v="Asset"/>
    <n v="18304"/>
    <m/>
    <s v="Delivery sales via QuickDash"/>
    <s v="Delivery Platform Settlement"/>
    <s v="Delivery"/>
    <s v="V05"/>
    <s v="QuickDash Delivery Platform"/>
    <s v="Restaurant Ops"/>
  </r>
  <r>
    <n v="118"/>
    <s v="T0118"/>
    <x v="22"/>
    <s v="103"/>
    <x v="2"/>
    <s v="4010"/>
    <x v="6"/>
    <s v="Revenue"/>
    <m/>
    <n v="18304"/>
    <s v="Delivery sales via QuickDash"/>
    <s v="Delivery Platform Settlement"/>
    <s v="Delivery"/>
    <s v="V05"/>
    <s v="QuickDash Delivery Platform"/>
    <s v="Restaurant Ops"/>
  </r>
  <r>
    <n v="119"/>
    <s v="T0119"/>
    <x v="23"/>
    <s v="103"/>
    <x v="2"/>
    <s v="1000"/>
    <x v="0"/>
    <s v="Asset"/>
    <n v="18304"/>
    <m/>
    <s v="Collection of delivery platform settlement"/>
    <s v="Delivery Platform Settlement"/>
    <s v="Delivery"/>
    <s v="V05"/>
    <s v="QuickDash Delivery Platform"/>
    <s v="Restaurant Ops"/>
  </r>
  <r>
    <n v="119"/>
    <s v="T0119"/>
    <x v="23"/>
    <s v="103"/>
    <x v="2"/>
    <s v="1010"/>
    <x v="5"/>
    <s v="Asset"/>
    <m/>
    <n v="18304"/>
    <s v="Collection of delivery platform settlement"/>
    <s v="Delivery Platform Settlement"/>
    <s v="Delivery"/>
    <s v="V05"/>
    <s v="QuickDash Delivery Platform"/>
    <s v="Restaurant Ops"/>
  </r>
  <r>
    <n v="120"/>
    <s v="T0120"/>
    <x v="23"/>
    <s v="103"/>
    <x v="2"/>
    <s v="5040"/>
    <x v="7"/>
    <s v="Expense"/>
    <n v="2745.6"/>
    <m/>
    <s v="Delivery platform commission fee"/>
    <s v="Cash"/>
    <s v="Delivery"/>
    <s v="V05"/>
    <s v="QuickDash Delivery Platform"/>
    <s v="Restaurant Ops"/>
  </r>
  <r>
    <n v="120"/>
    <s v="T0120"/>
    <x v="23"/>
    <s v="103"/>
    <x v="2"/>
    <s v="1000"/>
    <x v="0"/>
    <s v="Asset"/>
    <m/>
    <n v="2745.6"/>
    <s v="Delivery platform commission fee"/>
    <s v="Cash"/>
    <s v="Delivery"/>
    <s v="V05"/>
    <s v="QuickDash Delivery Platform"/>
    <s v="Restaurant Ops"/>
  </r>
  <r>
    <n v="121"/>
    <s v="T0121"/>
    <x v="24"/>
    <s v="103"/>
    <x v="2"/>
    <s v="1020"/>
    <x v="8"/>
    <s v="Asset"/>
    <n v="31973.759999999998"/>
    <m/>
    <s v="Food &amp; beverage inventory purchase"/>
    <s v="N/A"/>
    <s v="Corporate"/>
    <s v="V01"/>
    <s v="Gulf Coast Meat Supply"/>
    <s v="Supply Chain"/>
  </r>
  <r>
    <n v="121"/>
    <s v="T0121"/>
    <x v="24"/>
    <s v="103"/>
    <x v="2"/>
    <s v="2000"/>
    <x v="9"/>
    <s v="Liability"/>
    <m/>
    <n v="31973.759999999998"/>
    <s v="Food &amp; beverage inventory purchase"/>
    <s v="N/A"/>
    <s v="Corporate"/>
    <s v="V01"/>
    <s v="Gulf Coast Meat Supply"/>
    <s v="Supply Chain"/>
  </r>
  <r>
    <n v="122"/>
    <s v="T0122"/>
    <x v="25"/>
    <s v="103"/>
    <x v="2"/>
    <s v="5000"/>
    <x v="10"/>
    <s v="Expense"/>
    <n v="30451.200000000001"/>
    <m/>
    <s v="Cost of food sold - monthly usage"/>
    <s v="N/A"/>
    <s v="Corporate"/>
    <s v="V01"/>
    <s v="Gulf Coast Meat Supply"/>
    <s v="Restaurant Ops"/>
  </r>
  <r>
    <n v="122"/>
    <s v="T0122"/>
    <x v="25"/>
    <s v="103"/>
    <x v="2"/>
    <s v="1020"/>
    <x v="8"/>
    <s v="Asset"/>
    <m/>
    <n v="30451.200000000001"/>
    <s v="Cost of food sold - monthly usage"/>
    <s v="N/A"/>
    <s v="Corporate"/>
    <s v="V01"/>
    <s v="Gulf Coast Meat Supply"/>
    <s v="Restaurant Ops"/>
  </r>
  <r>
    <n v="123"/>
    <s v="T0123"/>
    <x v="26"/>
    <s v="103"/>
    <x v="2"/>
    <s v="5010"/>
    <x v="11"/>
    <s v="Expense"/>
    <n v="26391.040000000001"/>
    <m/>
    <s v="Bi-weekly payroll"/>
    <s v="Cash"/>
    <s v="Corporate"/>
    <m/>
    <m/>
    <s v="Human Resources"/>
  </r>
  <r>
    <n v="123"/>
    <s v="T0123"/>
    <x v="26"/>
    <s v="103"/>
    <x v="2"/>
    <s v="1000"/>
    <x v="0"/>
    <s v="Asset"/>
    <m/>
    <n v="26391.040000000001"/>
    <s v="Bi-weekly payroll"/>
    <s v="Cash"/>
    <s v="Corporate"/>
    <m/>
    <m/>
    <s v="Human Resources"/>
  </r>
  <r>
    <n v="124"/>
    <s v="T0124"/>
    <x v="27"/>
    <s v="103"/>
    <x v="2"/>
    <s v="5020"/>
    <x v="12"/>
    <s v="Expense"/>
    <n v="7500"/>
    <m/>
    <s v="Monthly rent payment"/>
    <s v="Cash"/>
    <s v="Corporate"/>
    <s v="V08"/>
    <s v="Prime Property Management"/>
    <s v="Finance"/>
  </r>
  <r>
    <n v="124"/>
    <s v="T0124"/>
    <x v="27"/>
    <s v="103"/>
    <x v="2"/>
    <s v="1000"/>
    <x v="0"/>
    <s v="Asset"/>
    <m/>
    <n v="7500"/>
    <s v="Monthly rent payment"/>
    <s v="Cash"/>
    <s v="Corporate"/>
    <s v="V08"/>
    <s v="Prime Property Management"/>
    <s v="Finance"/>
  </r>
  <r>
    <n v="125"/>
    <s v="T0125"/>
    <x v="28"/>
    <s v="103"/>
    <x v="2"/>
    <s v="5030"/>
    <x v="13"/>
    <s v="Expense"/>
    <n v="2226"/>
    <m/>
    <s v="Monthly utilities payment"/>
    <s v="Cash"/>
    <s v="Corporate"/>
    <s v="V07"/>
    <s v="CityWide Utilities"/>
    <s v="Facilities"/>
  </r>
  <r>
    <n v="125"/>
    <s v="T0125"/>
    <x v="28"/>
    <s v="103"/>
    <x v="2"/>
    <s v="1000"/>
    <x v="0"/>
    <s v="Asset"/>
    <m/>
    <n v="2226"/>
    <s v="Monthly utilities payment"/>
    <s v="Cash"/>
    <s v="Corporate"/>
    <s v="V07"/>
    <s v="CityWide Utilities"/>
    <s v="Facilities"/>
  </r>
  <r>
    <n v="126"/>
    <s v="T0126"/>
    <x v="25"/>
    <s v="103"/>
    <x v="2"/>
    <s v="5050"/>
    <x v="14"/>
    <s v="Expense"/>
    <n v="2537.6"/>
    <m/>
    <s v="Credit card processing fees"/>
    <s v="Cash"/>
    <s v="Corporate"/>
    <m/>
    <m/>
    <s v="Finance"/>
  </r>
  <r>
    <n v="126"/>
    <s v="T0126"/>
    <x v="25"/>
    <s v="103"/>
    <x v="2"/>
    <s v="1000"/>
    <x v="0"/>
    <s v="Asset"/>
    <m/>
    <n v="2537.6"/>
    <s v="Credit card processing fees"/>
    <s v="Cash"/>
    <s v="Corporate"/>
    <m/>
    <m/>
    <s v="Finance"/>
  </r>
  <r>
    <n v="127"/>
    <s v="T0127"/>
    <x v="29"/>
    <s v="103"/>
    <x v="2"/>
    <s v="5060"/>
    <x v="15"/>
    <s v="Expense"/>
    <n v="3045.12"/>
    <m/>
    <s v="Local store marketing spend"/>
    <s v="Cash"/>
    <s v="Corporate"/>
    <s v="V09"/>
    <s v="BrightSign Marketing Agency"/>
    <s v="Marketing"/>
  </r>
  <r>
    <n v="127"/>
    <s v="T0127"/>
    <x v="29"/>
    <s v="103"/>
    <x v="2"/>
    <s v="1000"/>
    <x v="0"/>
    <s v="Asset"/>
    <m/>
    <n v="3045.12"/>
    <s v="Local store marketing spend"/>
    <s v="Cash"/>
    <s v="Corporate"/>
    <s v="V09"/>
    <s v="BrightSign Marketing Agency"/>
    <s v="Marketing"/>
  </r>
  <r>
    <n v="128"/>
    <s v="T0128"/>
    <x v="30"/>
    <s v="103"/>
    <x v="2"/>
    <s v="5070"/>
    <x v="16"/>
    <s v="Expense"/>
    <n v="4060.16"/>
    <m/>
    <s v="Monthly franchise fee to corporate"/>
    <s v="Cash"/>
    <s v="Corporate"/>
    <s v="V10"/>
    <s v="Trailhead Burger Co. - Corporate"/>
    <s v="Finance"/>
  </r>
  <r>
    <n v="128"/>
    <s v="T0128"/>
    <x v="30"/>
    <s v="103"/>
    <x v="2"/>
    <s v="1000"/>
    <x v="0"/>
    <s v="Asset"/>
    <m/>
    <n v="4060.16"/>
    <s v="Monthly franchise fee to corporate"/>
    <s v="Cash"/>
    <s v="Corporate"/>
    <s v="V10"/>
    <s v="Trailhead Burger Co. - Corporate"/>
    <s v="Finance"/>
  </r>
  <r>
    <n v="129"/>
    <s v="T0129"/>
    <x v="31"/>
    <s v="103"/>
    <x v="2"/>
    <s v="2000"/>
    <x v="9"/>
    <s v="Liability"/>
    <n v="27406.080000000002"/>
    <m/>
    <s v="Payment on vendor account payable"/>
    <s v="Cash"/>
    <s v="Corporate"/>
    <s v="V01"/>
    <s v="Gulf Coast Meat Supply"/>
    <s v="Finance"/>
  </r>
  <r>
    <n v="129"/>
    <s v="T0129"/>
    <x v="31"/>
    <s v="103"/>
    <x v="2"/>
    <s v="1000"/>
    <x v="0"/>
    <s v="Asset"/>
    <m/>
    <n v="27406.080000000002"/>
    <s v="Payment on vendor account payable"/>
    <s v="Cash"/>
    <s v="Corporate"/>
    <s v="V01"/>
    <s v="Gulf Coast Meat Supply"/>
    <s v="Finance"/>
  </r>
  <r>
    <n v="130"/>
    <s v="T0130"/>
    <x v="1"/>
    <s v="104"/>
    <x v="3"/>
    <s v="1000"/>
    <x v="0"/>
    <s v="Asset"/>
    <n v="85000"/>
    <m/>
    <s v="Weekly dine-in &amp; drive-thru sales"/>
    <s v="Cash"/>
    <s v="Dine-In"/>
    <m/>
    <m/>
    <s v="Restaurant Ops"/>
  </r>
  <r>
    <n v="130"/>
    <s v="T0130"/>
    <x v="1"/>
    <s v="104"/>
    <x v="3"/>
    <s v="4000"/>
    <x v="4"/>
    <s v="Revenue"/>
    <m/>
    <n v="85000"/>
    <s v="Weekly dine-in &amp; drive-thru sales"/>
    <s v="Cash"/>
    <s v="Dine-In"/>
    <m/>
    <m/>
    <s v="Restaurant Ops"/>
  </r>
  <r>
    <n v="131"/>
    <s v="T0131"/>
    <x v="2"/>
    <s v="104"/>
    <x v="3"/>
    <s v="1010"/>
    <x v="5"/>
    <s v="Asset"/>
    <n v="18700"/>
    <m/>
    <s v="Delivery sales via QuickDash"/>
    <s v="Delivery Platform Settlement"/>
    <s v="Delivery"/>
    <s v="V05"/>
    <s v="QuickDash Delivery Platform"/>
    <s v="Restaurant Ops"/>
  </r>
  <r>
    <n v="131"/>
    <s v="T0131"/>
    <x v="2"/>
    <s v="104"/>
    <x v="3"/>
    <s v="4010"/>
    <x v="6"/>
    <s v="Revenue"/>
    <m/>
    <n v="18700"/>
    <s v="Delivery sales via QuickDash"/>
    <s v="Delivery Platform Settlement"/>
    <s v="Delivery"/>
    <s v="V05"/>
    <s v="QuickDash Delivery Platform"/>
    <s v="Restaurant Ops"/>
  </r>
  <r>
    <n v="132"/>
    <s v="T0132"/>
    <x v="3"/>
    <s v="104"/>
    <x v="3"/>
    <s v="1000"/>
    <x v="0"/>
    <s v="Asset"/>
    <n v="18700"/>
    <m/>
    <s v="Collection of delivery platform settlement"/>
    <s v="Delivery Platform Settlement"/>
    <s v="Delivery"/>
    <s v="V05"/>
    <s v="QuickDash Delivery Platform"/>
    <s v="Restaurant Ops"/>
  </r>
  <r>
    <n v="132"/>
    <s v="T0132"/>
    <x v="3"/>
    <s v="104"/>
    <x v="3"/>
    <s v="1010"/>
    <x v="5"/>
    <s v="Asset"/>
    <m/>
    <n v="18700"/>
    <s v="Collection of delivery platform settlement"/>
    <s v="Delivery Platform Settlement"/>
    <s v="Delivery"/>
    <s v="V05"/>
    <s v="QuickDash Delivery Platform"/>
    <s v="Restaurant Ops"/>
  </r>
  <r>
    <n v="133"/>
    <s v="T0133"/>
    <x v="3"/>
    <s v="104"/>
    <x v="3"/>
    <s v="5040"/>
    <x v="7"/>
    <s v="Expense"/>
    <n v="2805"/>
    <m/>
    <s v="Delivery platform commission fee"/>
    <s v="Cash"/>
    <s v="Delivery"/>
    <s v="V05"/>
    <s v="QuickDash Delivery Platform"/>
    <s v="Restaurant Ops"/>
  </r>
  <r>
    <n v="133"/>
    <s v="T0133"/>
    <x v="3"/>
    <s v="104"/>
    <x v="3"/>
    <s v="1000"/>
    <x v="0"/>
    <s v="Asset"/>
    <m/>
    <n v="2805"/>
    <s v="Delivery platform commission fee"/>
    <s v="Cash"/>
    <s v="Delivery"/>
    <s v="V05"/>
    <s v="QuickDash Delivery Platform"/>
    <s v="Restaurant Ops"/>
  </r>
  <r>
    <n v="134"/>
    <s v="T0134"/>
    <x v="4"/>
    <s v="104"/>
    <x v="3"/>
    <s v="1020"/>
    <x v="8"/>
    <s v="Asset"/>
    <n v="32665.5"/>
    <m/>
    <s v="Food &amp; beverage inventory purchase"/>
    <s v="N/A"/>
    <s v="Corporate"/>
    <s v="V01"/>
    <s v="Gulf Coast Meat Supply"/>
    <s v="Supply Chain"/>
  </r>
  <r>
    <n v="134"/>
    <s v="T0134"/>
    <x v="4"/>
    <s v="104"/>
    <x v="3"/>
    <s v="2000"/>
    <x v="9"/>
    <s v="Liability"/>
    <m/>
    <n v="32665.5"/>
    <s v="Food &amp; beverage inventory purchase"/>
    <s v="N/A"/>
    <s v="Corporate"/>
    <s v="V01"/>
    <s v="Gulf Coast Meat Supply"/>
    <s v="Supply Chain"/>
  </r>
  <r>
    <n v="135"/>
    <s v="T0135"/>
    <x v="5"/>
    <s v="104"/>
    <x v="3"/>
    <s v="5000"/>
    <x v="10"/>
    <s v="Expense"/>
    <n v="31110"/>
    <m/>
    <s v="Cost of food sold - monthly usage"/>
    <s v="N/A"/>
    <s v="Corporate"/>
    <s v="V01"/>
    <s v="Gulf Coast Meat Supply"/>
    <s v="Restaurant Ops"/>
  </r>
  <r>
    <n v="135"/>
    <s v="T0135"/>
    <x v="5"/>
    <s v="104"/>
    <x v="3"/>
    <s v="1020"/>
    <x v="8"/>
    <s v="Asset"/>
    <m/>
    <n v="31110"/>
    <s v="Cost of food sold - monthly usage"/>
    <s v="N/A"/>
    <s v="Corporate"/>
    <s v="V01"/>
    <s v="Gulf Coast Meat Supply"/>
    <s v="Restaurant Ops"/>
  </r>
  <r>
    <n v="136"/>
    <s v="T0136"/>
    <x v="6"/>
    <s v="104"/>
    <x v="3"/>
    <s v="5010"/>
    <x v="11"/>
    <s v="Expense"/>
    <n v="26962"/>
    <m/>
    <s v="Bi-weekly payroll"/>
    <s v="Cash"/>
    <s v="Corporate"/>
    <m/>
    <m/>
    <s v="Human Resources"/>
  </r>
  <r>
    <n v="136"/>
    <s v="T0136"/>
    <x v="6"/>
    <s v="104"/>
    <x v="3"/>
    <s v="1000"/>
    <x v="0"/>
    <s v="Asset"/>
    <m/>
    <n v="26962"/>
    <s v="Bi-weekly payroll"/>
    <s v="Cash"/>
    <s v="Corporate"/>
    <m/>
    <m/>
    <s v="Human Resources"/>
  </r>
  <r>
    <n v="137"/>
    <s v="T0137"/>
    <x v="7"/>
    <s v="104"/>
    <x v="3"/>
    <s v="5020"/>
    <x v="12"/>
    <s v="Expense"/>
    <n v="8000"/>
    <m/>
    <s v="Monthly rent payment"/>
    <s v="Cash"/>
    <s v="Corporate"/>
    <s v="V08"/>
    <s v="Prime Property Management"/>
    <s v="Finance"/>
  </r>
  <r>
    <n v="137"/>
    <s v="T0137"/>
    <x v="7"/>
    <s v="104"/>
    <x v="3"/>
    <s v="1000"/>
    <x v="0"/>
    <s v="Asset"/>
    <m/>
    <n v="8000"/>
    <s v="Monthly rent payment"/>
    <s v="Cash"/>
    <s v="Corporate"/>
    <s v="V08"/>
    <s v="Prime Property Management"/>
    <s v="Finance"/>
  </r>
  <r>
    <n v="138"/>
    <s v="T0138"/>
    <x v="8"/>
    <s v="104"/>
    <x v="3"/>
    <s v="5030"/>
    <x v="13"/>
    <s v="Expense"/>
    <n v="2200"/>
    <m/>
    <s v="Monthly utilities payment"/>
    <s v="Cash"/>
    <s v="Corporate"/>
    <s v="V07"/>
    <s v="CityWide Utilities"/>
    <s v="Facilities"/>
  </r>
  <r>
    <n v="138"/>
    <s v="T0138"/>
    <x v="8"/>
    <s v="104"/>
    <x v="3"/>
    <s v="1000"/>
    <x v="0"/>
    <s v="Asset"/>
    <m/>
    <n v="2200"/>
    <s v="Monthly utilities payment"/>
    <s v="Cash"/>
    <s v="Corporate"/>
    <s v="V07"/>
    <s v="CityWide Utilities"/>
    <s v="Facilities"/>
  </r>
  <r>
    <n v="139"/>
    <s v="T0139"/>
    <x v="5"/>
    <s v="104"/>
    <x v="3"/>
    <s v="5050"/>
    <x v="14"/>
    <s v="Expense"/>
    <n v="2592.5"/>
    <m/>
    <s v="Credit card processing fees"/>
    <s v="Cash"/>
    <s v="Corporate"/>
    <m/>
    <m/>
    <s v="Finance"/>
  </r>
  <r>
    <n v="139"/>
    <s v="T0139"/>
    <x v="5"/>
    <s v="104"/>
    <x v="3"/>
    <s v="1000"/>
    <x v="0"/>
    <s v="Asset"/>
    <m/>
    <n v="2592.5"/>
    <s v="Credit card processing fees"/>
    <s v="Cash"/>
    <s v="Corporate"/>
    <m/>
    <m/>
    <s v="Finance"/>
  </r>
  <r>
    <n v="140"/>
    <s v="T0140"/>
    <x v="9"/>
    <s v="104"/>
    <x v="3"/>
    <s v="5060"/>
    <x v="15"/>
    <s v="Expense"/>
    <n v="3111"/>
    <m/>
    <s v="Local store marketing spend"/>
    <s v="Cash"/>
    <s v="Corporate"/>
    <s v="V09"/>
    <s v="BrightSign Marketing Agency"/>
    <s v="Marketing"/>
  </r>
  <r>
    <n v="140"/>
    <s v="T0140"/>
    <x v="9"/>
    <s v="104"/>
    <x v="3"/>
    <s v="1000"/>
    <x v="0"/>
    <s v="Asset"/>
    <m/>
    <n v="3111"/>
    <s v="Local store marketing spend"/>
    <s v="Cash"/>
    <s v="Corporate"/>
    <s v="V09"/>
    <s v="BrightSign Marketing Agency"/>
    <s v="Marketing"/>
  </r>
  <r>
    <n v="141"/>
    <s v="T0141"/>
    <x v="10"/>
    <s v="104"/>
    <x v="3"/>
    <s v="5070"/>
    <x v="16"/>
    <s v="Expense"/>
    <n v="4148"/>
    <m/>
    <s v="Monthly franchise fee to corporate"/>
    <s v="Cash"/>
    <s v="Corporate"/>
    <s v="V10"/>
    <s v="Trailhead Burger Co. - Corporate"/>
    <s v="Finance"/>
  </r>
  <r>
    <n v="141"/>
    <s v="T0141"/>
    <x v="10"/>
    <s v="104"/>
    <x v="3"/>
    <s v="1000"/>
    <x v="0"/>
    <s v="Asset"/>
    <m/>
    <n v="4148"/>
    <s v="Monthly franchise fee to corporate"/>
    <s v="Cash"/>
    <s v="Corporate"/>
    <s v="V10"/>
    <s v="Trailhead Burger Co. - Corporate"/>
    <s v="Finance"/>
  </r>
  <r>
    <n v="142"/>
    <s v="T0142"/>
    <x v="11"/>
    <s v="104"/>
    <x v="3"/>
    <s v="1000"/>
    <x v="0"/>
    <s v="Asset"/>
    <n v="86700"/>
    <m/>
    <s v="Weekly dine-in &amp; drive-thru sales"/>
    <s v="Cash"/>
    <s v="Dine-In"/>
    <m/>
    <m/>
    <s v="Restaurant Ops"/>
  </r>
  <r>
    <n v="142"/>
    <s v="T0142"/>
    <x v="11"/>
    <s v="104"/>
    <x v="3"/>
    <s v="4000"/>
    <x v="4"/>
    <s v="Revenue"/>
    <m/>
    <n v="86700"/>
    <s v="Weekly dine-in &amp; drive-thru sales"/>
    <s v="Cash"/>
    <s v="Dine-In"/>
    <m/>
    <m/>
    <s v="Restaurant Ops"/>
  </r>
  <r>
    <n v="143"/>
    <s v="T0143"/>
    <x v="12"/>
    <s v="104"/>
    <x v="3"/>
    <s v="1010"/>
    <x v="5"/>
    <s v="Asset"/>
    <n v="19074"/>
    <m/>
    <s v="Delivery sales via QuickDash"/>
    <s v="Delivery Platform Settlement"/>
    <s v="Delivery"/>
    <s v="V05"/>
    <s v="QuickDash Delivery Platform"/>
    <s v="Restaurant Ops"/>
  </r>
  <r>
    <n v="143"/>
    <s v="T0143"/>
    <x v="12"/>
    <s v="104"/>
    <x v="3"/>
    <s v="4010"/>
    <x v="6"/>
    <s v="Revenue"/>
    <m/>
    <n v="19074"/>
    <s v="Delivery sales via QuickDash"/>
    <s v="Delivery Platform Settlement"/>
    <s v="Delivery"/>
    <s v="V05"/>
    <s v="QuickDash Delivery Platform"/>
    <s v="Restaurant Ops"/>
  </r>
  <r>
    <n v="144"/>
    <s v="T0144"/>
    <x v="13"/>
    <s v="104"/>
    <x v="3"/>
    <s v="1000"/>
    <x v="0"/>
    <s v="Asset"/>
    <n v="19074"/>
    <m/>
    <s v="Collection of delivery platform settlement"/>
    <s v="Delivery Platform Settlement"/>
    <s v="Delivery"/>
    <s v="V05"/>
    <s v="QuickDash Delivery Platform"/>
    <s v="Restaurant Ops"/>
  </r>
  <r>
    <n v="144"/>
    <s v="T0144"/>
    <x v="13"/>
    <s v="104"/>
    <x v="3"/>
    <s v="1010"/>
    <x v="5"/>
    <s v="Asset"/>
    <m/>
    <n v="19074"/>
    <s v="Collection of delivery platform settlement"/>
    <s v="Delivery Platform Settlement"/>
    <s v="Delivery"/>
    <s v="V05"/>
    <s v="QuickDash Delivery Platform"/>
    <s v="Restaurant Ops"/>
  </r>
  <r>
    <n v="145"/>
    <s v="T0145"/>
    <x v="13"/>
    <s v="104"/>
    <x v="3"/>
    <s v="5040"/>
    <x v="7"/>
    <s v="Expense"/>
    <n v="2861.1"/>
    <m/>
    <s v="Delivery platform commission fee"/>
    <s v="Cash"/>
    <s v="Delivery"/>
    <s v="V05"/>
    <s v="QuickDash Delivery Platform"/>
    <s v="Restaurant Ops"/>
  </r>
  <r>
    <n v="145"/>
    <s v="T0145"/>
    <x v="13"/>
    <s v="104"/>
    <x v="3"/>
    <s v="1000"/>
    <x v="0"/>
    <s v="Asset"/>
    <m/>
    <n v="2861.1"/>
    <s v="Delivery platform commission fee"/>
    <s v="Cash"/>
    <s v="Delivery"/>
    <s v="V05"/>
    <s v="QuickDash Delivery Platform"/>
    <s v="Restaurant Ops"/>
  </r>
  <r>
    <n v="146"/>
    <s v="T0146"/>
    <x v="14"/>
    <s v="104"/>
    <x v="3"/>
    <s v="1020"/>
    <x v="8"/>
    <s v="Asset"/>
    <n v="33318.81"/>
    <m/>
    <s v="Food &amp; beverage inventory purchase"/>
    <s v="N/A"/>
    <s v="Corporate"/>
    <s v="V02"/>
    <s v="Fresh Produce Partners"/>
    <s v="Supply Chain"/>
  </r>
  <r>
    <n v="146"/>
    <s v="T0146"/>
    <x v="14"/>
    <s v="104"/>
    <x v="3"/>
    <s v="2000"/>
    <x v="9"/>
    <s v="Liability"/>
    <m/>
    <n v="33318.81"/>
    <s v="Food &amp; beverage inventory purchase"/>
    <s v="N/A"/>
    <s v="Corporate"/>
    <s v="V02"/>
    <s v="Fresh Produce Partners"/>
    <s v="Supply Chain"/>
  </r>
  <r>
    <n v="147"/>
    <s v="T0147"/>
    <x v="15"/>
    <s v="104"/>
    <x v="3"/>
    <s v="5000"/>
    <x v="10"/>
    <s v="Expense"/>
    <n v="31732.2"/>
    <m/>
    <s v="Cost of food sold - monthly usage"/>
    <s v="N/A"/>
    <s v="Corporate"/>
    <s v="V02"/>
    <s v="Fresh Produce Partners"/>
    <s v="Restaurant Ops"/>
  </r>
  <r>
    <n v="147"/>
    <s v="T0147"/>
    <x v="15"/>
    <s v="104"/>
    <x v="3"/>
    <s v="1020"/>
    <x v="8"/>
    <s v="Asset"/>
    <m/>
    <n v="31732.2"/>
    <s v="Cost of food sold - monthly usage"/>
    <s v="N/A"/>
    <s v="Corporate"/>
    <s v="V02"/>
    <s v="Fresh Produce Partners"/>
    <s v="Restaurant Ops"/>
  </r>
  <r>
    <n v="148"/>
    <s v="T0148"/>
    <x v="16"/>
    <s v="104"/>
    <x v="3"/>
    <s v="5010"/>
    <x v="11"/>
    <s v="Expense"/>
    <n v="27501.24"/>
    <m/>
    <s v="Bi-weekly payroll"/>
    <s v="Cash"/>
    <s v="Corporate"/>
    <m/>
    <m/>
    <s v="Human Resources"/>
  </r>
  <r>
    <n v="148"/>
    <s v="T0148"/>
    <x v="16"/>
    <s v="104"/>
    <x v="3"/>
    <s v="1000"/>
    <x v="0"/>
    <s v="Asset"/>
    <m/>
    <n v="27501.24"/>
    <s v="Bi-weekly payroll"/>
    <s v="Cash"/>
    <s v="Corporate"/>
    <m/>
    <m/>
    <s v="Human Resources"/>
  </r>
  <r>
    <n v="149"/>
    <s v="T0149"/>
    <x v="17"/>
    <s v="104"/>
    <x v="3"/>
    <s v="5020"/>
    <x v="12"/>
    <s v="Expense"/>
    <n v="8000"/>
    <m/>
    <s v="Monthly rent payment"/>
    <s v="Cash"/>
    <s v="Corporate"/>
    <s v="V08"/>
    <s v="Prime Property Management"/>
    <s v="Finance"/>
  </r>
  <r>
    <n v="149"/>
    <s v="T0149"/>
    <x v="17"/>
    <s v="104"/>
    <x v="3"/>
    <s v="1000"/>
    <x v="0"/>
    <s v="Asset"/>
    <m/>
    <n v="8000"/>
    <s v="Monthly rent payment"/>
    <s v="Cash"/>
    <s v="Corporate"/>
    <s v="V08"/>
    <s v="Prime Property Management"/>
    <s v="Finance"/>
  </r>
  <r>
    <n v="150"/>
    <s v="T0150"/>
    <x v="18"/>
    <s v="104"/>
    <x v="3"/>
    <s v="5030"/>
    <x v="13"/>
    <s v="Expense"/>
    <n v="2266"/>
    <m/>
    <s v="Monthly utilities payment"/>
    <s v="Cash"/>
    <s v="Corporate"/>
    <s v="V07"/>
    <s v="CityWide Utilities"/>
    <s v="Facilities"/>
  </r>
  <r>
    <n v="150"/>
    <s v="T0150"/>
    <x v="18"/>
    <s v="104"/>
    <x v="3"/>
    <s v="1000"/>
    <x v="0"/>
    <s v="Asset"/>
    <m/>
    <n v="2266"/>
    <s v="Monthly utilities payment"/>
    <s v="Cash"/>
    <s v="Corporate"/>
    <s v="V07"/>
    <s v="CityWide Utilities"/>
    <s v="Facilities"/>
  </r>
  <r>
    <n v="151"/>
    <s v="T0151"/>
    <x v="15"/>
    <s v="104"/>
    <x v="3"/>
    <s v="5050"/>
    <x v="14"/>
    <s v="Expense"/>
    <n v="2644.35"/>
    <m/>
    <s v="Credit card processing fees"/>
    <s v="Cash"/>
    <s v="Corporate"/>
    <m/>
    <m/>
    <s v="Finance"/>
  </r>
  <r>
    <n v="151"/>
    <s v="T0151"/>
    <x v="15"/>
    <s v="104"/>
    <x v="3"/>
    <s v="1000"/>
    <x v="0"/>
    <s v="Asset"/>
    <m/>
    <n v="2644.35"/>
    <s v="Credit card processing fees"/>
    <s v="Cash"/>
    <s v="Corporate"/>
    <m/>
    <m/>
    <s v="Finance"/>
  </r>
  <r>
    <n v="152"/>
    <s v="T0152"/>
    <x v="19"/>
    <s v="104"/>
    <x v="3"/>
    <s v="5060"/>
    <x v="15"/>
    <s v="Expense"/>
    <n v="3173.22"/>
    <m/>
    <s v="Local store marketing spend"/>
    <s v="Cash"/>
    <s v="Corporate"/>
    <s v="V09"/>
    <s v="BrightSign Marketing Agency"/>
    <s v="Marketing"/>
  </r>
  <r>
    <n v="152"/>
    <s v="T0152"/>
    <x v="19"/>
    <s v="104"/>
    <x v="3"/>
    <s v="1000"/>
    <x v="0"/>
    <s v="Asset"/>
    <m/>
    <n v="3173.22"/>
    <s v="Local store marketing spend"/>
    <s v="Cash"/>
    <s v="Corporate"/>
    <s v="V09"/>
    <s v="BrightSign Marketing Agency"/>
    <s v="Marketing"/>
  </r>
  <r>
    <n v="153"/>
    <s v="T0153"/>
    <x v="15"/>
    <s v="104"/>
    <x v="3"/>
    <s v="5070"/>
    <x v="16"/>
    <s v="Expense"/>
    <n v="4230.96"/>
    <m/>
    <s v="Monthly franchise fee to corporate"/>
    <s v="Cash"/>
    <s v="Corporate"/>
    <s v="V10"/>
    <s v="Trailhead Burger Co. - Corporate"/>
    <s v="Finance"/>
  </r>
  <r>
    <n v="153"/>
    <s v="T0153"/>
    <x v="15"/>
    <s v="104"/>
    <x v="3"/>
    <s v="1000"/>
    <x v="0"/>
    <s v="Asset"/>
    <m/>
    <n v="4230.96"/>
    <s v="Monthly franchise fee to corporate"/>
    <s v="Cash"/>
    <s v="Corporate"/>
    <s v="V10"/>
    <s v="Trailhead Burger Co. - Corporate"/>
    <s v="Finance"/>
  </r>
  <r>
    <n v="154"/>
    <s v="T0154"/>
    <x v="20"/>
    <s v="104"/>
    <x v="3"/>
    <s v="2000"/>
    <x v="9"/>
    <s v="Liability"/>
    <n v="28558.98"/>
    <m/>
    <s v="Payment on vendor account payable"/>
    <s v="Cash"/>
    <s v="Corporate"/>
    <s v="V02"/>
    <s v="Fresh Produce Partners"/>
    <s v="Finance"/>
  </r>
  <r>
    <n v="154"/>
    <s v="T0154"/>
    <x v="20"/>
    <s v="104"/>
    <x v="3"/>
    <s v="1000"/>
    <x v="0"/>
    <s v="Asset"/>
    <m/>
    <n v="28558.98"/>
    <s v="Payment on vendor account payable"/>
    <s v="Cash"/>
    <s v="Corporate"/>
    <s v="V02"/>
    <s v="Fresh Produce Partners"/>
    <s v="Finance"/>
  </r>
  <r>
    <n v="155"/>
    <s v="T0155"/>
    <x v="21"/>
    <s v="104"/>
    <x v="3"/>
    <s v="1000"/>
    <x v="0"/>
    <s v="Asset"/>
    <n v="88400"/>
    <m/>
    <s v="Weekly dine-in &amp; drive-thru sales"/>
    <s v="Cash"/>
    <s v="Dine-In"/>
    <m/>
    <m/>
    <s v="Restaurant Ops"/>
  </r>
  <r>
    <n v="155"/>
    <s v="T0155"/>
    <x v="21"/>
    <s v="104"/>
    <x v="3"/>
    <s v="4000"/>
    <x v="4"/>
    <s v="Revenue"/>
    <m/>
    <n v="88400"/>
    <s v="Weekly dine-in &amp; drive-thru sales"/>
    <s v="Cash"/>
    <s v="Dine-In"/>
    <m/>
    <m/>
    <s v="Restaurant Ops"/>
  </r>
  <r>
    <n v="156"/>
    <s v="T0156"/>
    <x v="22"/>
    <s v="104"/>
    <x v="3"/>
    <s v="1010"/>
    <x v="5"/>
    <s v="Asset"/>
    <n v="19448"/>
    <m/>
    <s v="Delivery sales via QuickDash"/>
    <s v="Delivery Platform Settlement"/>
    <s v="Delivery"/>
    <s v="V05"/>
    <s v="QuickDash Delivery Platform"/>
    <s v="Restaurant Ops"/>
  </r>
  <r>
    <n v="156"/>
    <s v="T0156"/>
    <x v="22"/>
    <s v="104"/>
    <x v="3"/>
    <s v="4010"/>
    <x v="6"/>
    <s v="Revenue"/>
    <m/>
    <n v="19448"/>
    <s v="Delivery sales via QuickDash"/>
    <s v="Delivery Platform Settlement"/>
    <s v="Delivery"/>
    <s v="V05"/>
    <s v="QuickDash Delivery Platform"/>
    <s v="Restaurant Ops"/>
  </r>
  <r>
    <n v="157"/>
    <s v="T0157"/>
    <x v="23"/>
    <s v="104"/>
    <x v="3"/>
    <s v="1000"/>
    <x v="0"/>
    <s v="Asset"/>
    <n v="19448"/>
    <m/>
    <s v="Collection of delivery platform settlement"/>
    <s v="Delivery Platform Settlement"/>
    <s v="Delivery"/>
    <s v="V05"/>
    <s v="QuickDash Delivery Platform"/>
    <s v="Restaurant Ops"/>
  </r>
  <r>
    <n v="157"/>
    <s v="T0157"/>
    <x v="23"/>
    <s v="104"/>
    <x v="3"/>
    <s v="1010"/>
    <x v="5"/>
    <s v="Asset"/>
    <m/>
    <n v="19448"/>
    <s v="Collection of delivery platform settlement"/>
    <s v="Delivery Platform Settlement"/>
    <s v="Delivery"/>
    <s v="V05"/>
    <s v="QuickDash Delivery Platform"/>
    <s v="Restaurant Ops"/>
  </r>
  <r>
    <n v="158"/>
    <s v="T0158"/>
    <x v="23"/>
    <s v="104"/>
    <x v="3"/>
    <s v="5040"/>
    <x v="7"/>
    <s v="Expense"/>
    <n v="2917.2"/>
    <m/>
    <s v="Delivery platform commission fee"/>
    <s v="Cash"/>
    <s v="Delivery"/>
    <s v="V05"/>
    <s v="QuickDash Delivery Platform"/>
    <s v="Restaurant Ops"/>
  </r>
  <r>
    <n v="158"/>
    <s v="T0158"/>
    <x v="23"/>
    <s v="104"/>
    <x v="3"/>
    <s v="1000"/>
    <x v="0"/>
    <s v="Asset"/>
    <m/>
    <n v="2917.2"/>
    <s v="Delivery platform commission fee"/>
    <s v="Cash"/>
    <s v="Delivery"/>
    <s v="V05"/>
    <s v="QuickDash Delivery Platform"/>
    <s v="Restaurant Ops"/>
  </r>
  <r>
    <n v="159"/>
    <s v="T0159"/>
    <x v="24"/>
    <s v="104"/>
    <x v="3"/>
    <s v="1020"/>
    <x v="8"/>
    <s v="Asset"/>
    <n v="47560.97"/>
    <m/>
    <s v="Food &amp; beverage inventory purchase"/>
    <s v="N/A"/>
    <s v="Corporate"/>
    <s v="V01"/>
    <s v="Gulf Coast Meat Supply"/>
    <s v="Supply Chain"/>
  </r>
  <r>
    <n v="159"/>
    <s v="T0159"/>
    <x v="24"/>
    <s v="104"/>
    <x v="3"/>
    <s v="2000"/>
    <x v="9"/>
    <s v="Liability"/>
    <m/>
    <n v="47560.97"/>
    <s v="Food &amp; beverage inventory purchase"/>
    <s v="N/A"/>
    <s v="Corporate"/>
    <s v="V01"/>
    <s v="Gulf Coast Meat Supply"/>
    <s v="Supply Chain"/>
  </r>
  <r>
    <n v="160"/>
    <s v="T0160"/>
    <x v="25"/>
    <s v="104"/>
    <x v="3"/>
    <s v="5000"/>
    <x v="10"/>
    <s v="Expense"/>
    <n v="45296.160000000003"/>
    <m/>
    <s v="Cost of food sold - monthly usage"/>
    <s v="N/A"/>
    <s v="Corporate"/>
    <s v="V01"/>
    <s v="Gulf Coast Meat Supply"/>
    <s v="Restaurant Ops"/>
  </r>
  <r>
    <n v="160"/>
    <s v="T0160"/>
    <x v="25"/>
    <s v="104"/>
    <x v="3"/>
    <s v="1020"/>
    <x v="8"/>
    <s v="Asset"/>
    <m/>
    <n v="45296.160000000003"/>
    <s v="Cost of food sold - monthly usage"/>
    <s v="N/A"/>
    <s v="Corporate"/>
    <s v="V01"/>
    <s v="Gulf Coast Meat Supply"/>
    <s v="Restaurant Ops"/>
  </r>
  <r>
    <n v="161"/>
    <s v="T0161"/>
    <x v="26"/>
    <s v="104"/>
    <x v="3"/>
    <s v="5010"/>
    <x v="11"/>
    <s v="Expense"/>
    <n v="28040.48"/>
    <m/>
    <s v="Bi-weekly payroll"/>
    <s v="Cash"/>
    <s v="Corporate"/>
    <m/>
    <m/>
    <s v="Human Resources"/>
  </r>
  <r>
    <n v="161"/>
    <s v="T0161"/>
    <x v="26"/>
    <s v="104"/>
    <x v="3"/>
    <s v="1000"/>
    <x v="0"/>
    <s v="Asset"/>
    <m/>
    <n v="28040.48"/>
    <s v="Bi-weekly payroll"/>
    <s v="Cash"/>
    <s v="Corporate"/>
    <m/>
    <m/>
    <s v="Human Resources"/>
  </r>
  <r>
    <n v="162"/>
    <s v="T0162"/>
    <x v="27"/>
    <s v="104"/>
    <x v="3"/>
    <s v="5020"/>
    <x v="12"/>
    <s v="Expense"/>
    <n v="8000"/>
    <m/>
    <s v="Monthly rent payment"/>
    <s v="Cash"/>
    <s v="Corporate"/>
    <s v="V08"/>
    <s v="Prime Property Management"/>
    <s v="Finance"/>
  </r>
  <r>
    <n v="162"/>
    <s v="T0162"/>
    <x v="27"/>
    <s v="104"/>
    <x v="3"/>
    <s v="1000"/>
    <x v="0"/>
    <s v="Asset"/>
    <m/>
    <n v="8000"/>
    <s v="Monthly rent payment"/>
    <s v="Cash"/>
    <s v="Corporate"/>
    <s v="V08"/>
    <s v="Prime Property Management"/>
    <s v="Finance"/>
  </r>
  <r>
    <n v="163"/>
    <s v="T0163"/>
    <x v="28"/>
    <s v="104"/>
    <x v="3"/>
    <s v="5030"/>
    <x v="13"/>
    <s v="Expense"/>
    <n v="2332"/>
    <m/>
    <s v="Monthly utilities payment"/>
    <s v="Cash"/>
    <s v="Corporate"/>
    <s v="V07"/>
    <s v="CityWide Utilities"/>
    <s v="Facilities"/>
  </r>
  <r>
    <n v="163"/>
    <s v="T0163"/>
    <x v="28"/>
    <s v="104"/>
    <x v="3"/>
    <s v="1000"/>
    <x v="0"/>
    <s v="Asset"/>
    <m/>
    <n v="2332"/>
    <s v="Monthly utilities payment"/>
    <s v="Cash"/>
    <s v="Corporate"/>
    <s v="V07"/>
    <s v="CityWide Utilities"/>
    <s v="Facilities"/>
  </r>
  <r>
    <n v="164"/>
    <s v="T0164"/>
    <x v="25"/>
    <s v="104"/>
    <x v="3"/>
    <s v="5050"/>
    <x v="14"/>
    <s v="Expense"/>
    <n v="2696.2"/>
    <m/>
    <s v="Credit card processing fees"/>
    <s v="Cash"/>
    <s v="Corporate"/>
    <m/>
    <m/>
    <s v="Finance"/>
  </r>
  <r>
    <n v="164"/>
    <s v="T0164"/>
    <x v="25"/>
    <s v="104"/>
    <x v="3"/>
    <s v="1000"/>
    <x v="0"/>
    <s v="Asset"/>
    <m/>
    <n v="2696.2"/>
    <s v="Credit card processing fees"/>
    <s v="Cash"/>
    <s v="Corporate"/>
    <m/>
    <m/>
    <s v="Finance"/>
  </r>
  <r>
    <n v="165"/>
    <s v="T0165"/>
    <x v="29"/>
    <s v="104"/>
    <x v="3"/>
    <s v="5060"/>
    <x v="15"/>
    <s v="Expense"/>
    <n v="3235.44"/>
    <m/>
    <s v="Local store marketing spend"/>
    <s v="Cash"/>
    <s v="Corporate"/>
    <s v="V09"/>
    <s v="BrightSign Marketing Agency"/>
    <s v="Marketing"/>
  </r>
  <r>
    <n v="165"/>
    <s v="T0165"/>
    <x v="29"/>
    <s v="104"/>
    <x v="3"/>
    <s v="1000"/>
    <x v="0"/>
    <s v="Asset"/>
    <m/>
    <n v="3235.44"/>
    <s v="Local store marketing spend"/>
    <s v="Cash"/>
    <s v="Corporate"/>
    <s v="V09"/>
    <s v="BrightSign Marketing Agency"/>
    <s v="Marketing"/>
  </r>
  <r>
    <n v="166"/>
    <s v="T0166"/>
    <x v="30"/>
    <s v="104"/>
    <x v="3"/>
    <s v="5070"/>
    <x v="16"/>
    <s v="Expense"/>
    <n v="4313.92"/>
    <m/>
    <s v="Monthly franchise fee to corporate"/>
    <s v="Cash"/>
    <s v="Corporate"/>
    <s v="V10"/>
    <s v="Trailhead Burger Co. - Corporate"/>
    <s v="Finance"/>
  </r>
  <r>
    <n v="166"/>
    <s v="T0166"/>
    <x v="30"/>
    <s v="104"/>
    <x v="3"/>
    <s v="1000"/>
    <x v="0"/>
    <s v="Asset"/>
    <m/>
    <n v="4313.92"/>
    <s v="Monthly franchise fee to corporate"/>
    <s v="Cash"/>
    <s v="Corporate"/>
    <s v="V10"/>
    <s v="Trailhead Burger Co. - Corporate"/>
    <s v="Finance"/>
  </r>
  <r>
    <n v="167"/>
    <s v="T0167"/>
    <x v="31"/>
    <s v="104"/>
    <x v="3"/>
    <s v="2000"/>
    <x v="9"/>
    <s v="Liability"/>
    <n v="40766.54"/>
    <m/>
    <s v="Payment on vendor account payable"/>
    <s v="Cash"/>
    <s v="Corporate"/>
    <s v="V01"/>
    <s v="Gulf Coast Meat Supply"/>
    <s v="Finance"/>
  </r>
  <r>
    <n v="167"/>
    <s v="T0167"/>
    <x v="31"/>
    <s v="104"/>
    <x v="3"/>
    <s v="1000"/>
    <x v="0"/>
    <s v="Asset"/>
    <m/>
    <n v="40766.54"/>
    <s v="Payment on vendor account payable"/>
    <s v="Cash"/>
    <s v="Corporate"/>
    <s v="V01"/>
    <s v="Gulf Coast Meat Supply"/>
    <s v="Finance"/>
  </r>
  <r>
    <n v="168"/>
    <s v="T0168"/>
    <x v="1"/>
    <s v="105"/>
    <x v="4"/>
    <s v="1000"/>
    <x v="0"/>
    <s v="Asset"/>
    <n v="110000"/>
    <m/>
    <s v="Weekly dine-in &amp; drive-thru sales"/>
    <s v="Cash"/>
    <s v="Dine-In"/>
    <m/>
    <m/>
    <s v="Restaurant Ops"/>
  </r>
  <r>
    <n v="168"/>
    <s v="T0168"/>
    <x v="1"/>
    <s v="105"/>
    <x v="4"/>
    <s v="4000"/>
    <x v="4"/>
    <s v="Revenue"/>
    <m/>
    <n v="110000"/>
    <s v="Weekly dine-in &amp; drive-thru sales"/>
    <s v="Cash"/>
    <s v="Dine-In"/>
    <m/>
    <m/>
    <s v="Restaurant Ops"/>
  </r>
  <r>
    <n v="169"/>
    <s v="T0169"/>
    <x v="2"/>
    <s v="105"/>
    <x v="4"/>
    <s v="1010"/>
    <x v="5"/>
    <s v="Asset"/>
    <n v="24200"/>
    <m/>
    <s v="Delivery sales via QuickDash"/>
    <s v="Delivery Platform Settlement"/>
    <s v="Delivery"/>
    <s v="V05"/>
    <s v="QuickDash Delivery Platform"/>
    <s v="Restaurant Ops"/>
  </r>
  <r>
    <n v="169"/>
    <s v="T0169"/>
    <x v="2"/>
    <s v="105"/>
    <x v="4"/>
    <s v="4010"/>
    <x v="6"/>
    <s v="Revenue"/>
    <m/>
    <n v="24200"/>
    <s v="Delivery sales via QuickDash"/>
    <s v="Delivery Platform Settlement"/>
    <s v="Delivery"/>
    <s v="V05"/>
    <s v="QuickDash Delivery Platform"/>
    <s v="Restaurant Ops"/>
  </r>
  <r>
    <n v="170"/>
    <s v="T0170"/>
    <x v="3"/>
    <s v="105"/>
    <x v="4"/>
    <s v="1000"/>
    <x v="0"/>
    <s v="Asset"/>
    <n v="24200"/>
    <m/>
    <s v="Collection of delivery platform settlement"/>
    <s v="Delivery Platform Settlement"/>
    <s v="Delivery"/>
    <s v="V05"/>
    <s v="QuickDash Delivery Platform"/>
    <s v="Restaurant Ops"/>
  </r>
  <r>
    <n v="170"/>
    <s v="T0170"/>
    <x v="3"/>
    <s v="105"/>
    <x v="4"/>
    <s v="1010"/>
    <x v="5"/>
    <s v="Asset"/>
    <m/>
    <n v="24200"/>
    <s v="Collection of delivery platform settlement"/>
    <s v="Delivery Platform Settlement"/>
    <s v="Delivery"/>
    <s v="V05"/>
    <s v="QuickDash Delivery Platform"/>
    <s v="Restaurant Ops"/>
  </r>
  <r>
    <n v="171"/>
    <s v="T0171"/>
    <x v="3"/>
    <s v="105"/>
    <x v="4"/>
    <s v="5040"/>
    <x v="7"/>
    <s v="Expense"/>
    <n v="3630"/>
    <m/>
    <s v="Delivery platform commission fee"/>
    <s v="Cash"/>
    <s v="Delivery"/>
    <s v="V05"/>
    <s v="QuickDash Delivery Platform"/>
    <s v="Restaurant Ops"/>
  </r>
  <r>
    <n v="171"/>
    <s v="T0171"/>
    <x v="3"/>
    <s v="105"/>
    <x v="4"/>
    <s v="1000"/>
    <x v="0"/>
    <s v="Asset"/>
    <m/>
    <n v="3630"/>
    <s v="Delivery platform commission fee"/>
    <s v="Cash"/>
    <s v="Delivery"/>
    <s v="V05"/>
    <s v="QuickDash Delivery Platform"/>
    <s v="Restaurant Ops"/>
  </r>
  <r>
    <n v="172"/>
    <s v="T0172"/>
    <x v="4"/>
    <s v="105"/>
    <x v="4"/>
    <s v="1020"/>
    <x v="8"/>
    <s v="Asset"/>
    <n v="42273"/>
    <m/>
    <s v="Food &amp; beverage inventory purchase"/>
    <s v="N/A"/>
    <s v="Corporate"/>
    <s v="V01"/>
    <s v="Gulf Coast Meat Supply"/>
    <s v="Supply Chain"/>
  </r>
  <r>
    <n v="172"/>
    <s v="T0172"/>
    <x v="4"/>
    <s v="105"/>
    <x v="4"/>
    <s v="2000"/>
    <x v="9"/>
    <s v="Liability"/>
    <m/>
    <n v="42273"/>
    <s v="Food &amp; beverage inventory purchase"/>
    <s v="N/A"/>
    <s v="Corporate"/>
    <s v="V01"/>
    <s v="Gulf Coast Meat Supply"/>
    <s v="Supply Chain"/>
  </r>
  <r>
    <n v="173"/>
    <s v="T0173"/>
    <x v="5"/>
    <s v="105"/>
    <x v="4"/>
    <s v="5000"/>
    <x v="10"/>
    <s v="Expense"/>
    <n v="40260"/>
    <m/>
    <s v="Cost of food sold - monthly usage"/>
    <s v="N/A"/>
    <s v="Corporate"/>
    <s v="V01"/>
    <s v="Gulf Coast Meat Supply"/>
    <s v="Restaurant Ops"/>
  </r>
  <r>
    <n v="173"/>
    <s v="T0173"/>
    <x v="5"/>
    <s v="105"/>
    <x v="4"/>
    <s v="1020"/>
    <x v="8"/>
    <s v="Asset"/>
    <m/>
    <n v="40260"/>
    <s v="Cost of food sold - monthly usage"/>
    <s v="N/A"/>
    <s v="Corporate"/>
    <s v="V01"/>
    <s v="Gulf Coast Meat Supply"/>
    <s v="Restaurant Ops"/>
  </r>
  <r>
    <n v="174"/>
    <s v="T0174"/>
    <x v="6"/>
    <s v="105"/>
    <x v="4"/>
    <s v="5010"/>
    <x v="11"/>
    <s v="Expense"/>
    <n v="34892"/>
    <m/>
    <s v="Bi-weekly payroll"/>
    <s v="Cash"/>
    <s v="Corporate"/>
    <m/>
    <m/>
    <s v="Human Resources"/>
  </r>
  <r>
    <n v="174"/>
    <s v="T0174"/>
    <x v="6"/>
    <s v="105"/>
    <x v="4"/>
    <s v="1000"/>
    <x v="0"/>
    <s v="Asset"/>
    <m/>
    <n v="34892"/>
    <s v="Bi-weekly payroll"/>
    <s v="Cash"/>
    <s v="Corporate"/>
    <m/>
    <m/>
    <s v="Human Resources"/>
  </r>
  <r>
    <n v="175"/>
    <s v="T0175"/>
    <x v="7"/>
    <s v="105"/>
    <x v="4"/>
    <s v="5020"/>
    <x v="12"/>
    <s v="Expense"/>
    <n v="11000"/>
    <m/>
    <s v="Monthly rent payment"/>
    <s v="Cash"/>
    <s v="Corporate"/>
    <s v="V08"/>
    <s v="Prime Property Management"/>
    <s v="Finance"/>
  </r>
  <r>
    <n v="175"/>
    <s v="T0175"/>
    <x v="7"/>
    <s v="105"/>
    <x v="4"/>
    <s v="1000"/>
    <x v="0"/>
    <s v="Asset"/>
    <m/>
    <n v="11000"/>
    <s v="Monthly rent payment"/>
    <s v="Cash"/>
    <s v="Corporate"/>
    <s v="V08"/>
    <s v="Prime Property Management"/>
    <s v="Finance"/>
  </r>
  <r>
    <n v="176"/>
    <s v="T0176"/>
    <x v="8"/>
    <s v="105"/>
    <x v="4"/>
    <s v="5030"/>
    <x v="13"/>
    <s v="Expense"/>
    <n v="2900"/>
    <m/>
    <s v="Monthly utilities payment"/>
    <s v="Cash"/>
    <s v="Corporate"/>
    <s v="V07"/>
    <s v="CityWide Utilities"/>
    <s v="Facilities"/>
  </r>
  <r>
    <n v="176"/>
    <s v="T0176"/>
    <x v="8"/>
    <s v="105"/>
    <x v="4"/>
    <s v="1000"/>
    <x v="0"/>
    <s v="Asset"/>
    <m/>
    <n v="2900"/>
    <s v="Monthly utilities payment"/>
    <s v="Cash"/>
    <s v="Corporate"/>
    <s v="V07"/>
    <s v="CityWide Utilities"/>
    <s v="Facilities"/>
  </r>
  <r>
    <n v="177"/>
    <s v="T0177"/>
    <x v="5"/>
    <s v="105"/>
    <x v="4"/>
    <s v="5050"/>
    <x v="14"/>
    <s v="Expense"/>
    <n v="3355"/>
    <m/>
    <s v="Credit card processing fees"/>
    <s v="Cash"/>
    <s v="Corporate"/>
    <m/>
    <m/>
    <s v="Finance"/>
  </r>
  <r>
    <n v="177"/>
    <s v="T0177"/>
    <x v="5"/>
    <s v="105"/>
    <x v="4"/>
    <s v="1000"/>
    <x v="0"/>
    <s v="Asset"/>
    <m/>
    <n v="3355"/>
    <s v="Credit card processing fees"/>
    <s v="Cash"/>
    <s v="Corporate"/>
    <m/>
    <m/>
    <s v="Finance"/>
  </r>
  <r>
    <n v="178"/>
    <s v="T0178"/>
    <x v="9"/>
    <s v="105"/>
    <x v="4"/>
    <s v="5060"/>
    <x v="15"/>
    <s v="Expense"/>
    <n v="4026"/>
    <m/>
    <s v="Local store marketing spend"/>
    <s v="Cash"/>
    <s v="Corporate"/>
    <s v="V09"/>
    <s v="BrightSign Marketing Agency"/>
    <s v="Marketing"/>
  </r>
  <r>
    <n v="178"/>
    <s v="T0178"/>
    <x v="9"/>
    <s v="105"/>
    <x v="4"/>
    <s v="1000"/>
    <x v="0"/>
    <s v="Asset"/>
    <m/>
    <n v="4026"/>
    <s v="Local store marketing spend"/>
    <s v="Cash"/>
    <s v="Corporate"/>
    <s v="V09"/>
    <s v="BrightSign Marketing Agency"/>
    <s v="Marketing"/>
  </r>
  <r>
    <n v="179"/>
    <s v="T0179"/>
    <x v="10"/>
    <s v="105"/>
    <x v="4"/>
    <s v="5070"/>
    <x v="16"/>
    <s v="Expense"/>
    <n v="5368"/>
    <m/>
    <s v="Monthly franchise fee to corporate"/>
    <s v="Cash"/>
    <s v="Corporate"/>
    <s v="V10"/>
    <s v="Trailhead Burger Co. - Corporate"/>
    <s v="Finance"/>
  </r>
  <r>
    <n v="179"/>
    <s v="T0179"/>
    <x v="10"/>
    <s v="105"/>
    <x v="4"/>
    <s v="1000"/>
    <x v="0"/>
    <s v="Asset"/>
    <m/>
    <n v="5368"/>
    <s v="Monthly franchise fee to corporate"/>
    <s v="Cash"/>
    <s v="Corporate"/>
    <s v="V10"/>
    <s v="Trailhead Burger Co. - Corporate"/>
    <s v="Finance"/>
  </r>
  <r>
    <n v="180"/>
    <s v="T0180"/>
    <x v="11"/>
    <s v="105"/>
    <x v="4"/>
    <s v="1000"/>
    <x v="0"/>
    <s v="Asset"/>
    <n v="112200"/>
    <m/>
    <s v="Weekly dine-in &amp; drive-thru sales"/>
    <s v="Cash"/>
    <s v="Dine-In"/>
    <m/>
    <m/>
    <s v="Restaurant Ops"/>
  </r>
  <r>
    <n v="180"/>
    <s v="T0180"/>
    <x v="11"/>
    <s v="105"/>
    <x v="4"/>
    <s v="4000"/>
    <x v="4"/>
    <s v="Revenue"/>
    <m/>
    <n v="112200"/>
    <s v="Weekly dine-in &amp; drive-thru sales"/>
    <s v="Cash"/>
    <s v="Dine-In"/>
    <m/>
    <m/>
    <s v="Restaurant Ops"/>
  </r>
  <r>
    <n v="181"/>
    <s v="T0181"/>
    <x v="12"/>
    <s v="105"/>
    <x v="4"/>
    <s v="1010"/>
    <x v="5"/>
    <s v="Asset"/>
    <n v="24684"/>
    <m/>
    <s v="Delivery sales via QuickDash"/>
    <s v="Delivery Platform Settlement"/>
    <s v="Delivery"/>
    <s v="V05"/>
    <s v="QuickDash Delivery Platform"/>
    <s v="Restaurant Ops"/>
  </r>
  <r>
    <n v="181"/>
    <s v="T0181"/>
    <x v="12"/>
    <s v="105"/>
    <x v="4"/>
    <s v="4010"/>
    <x v="6"/>
    <s v="Revenue"/>
    <m/>
    <n v="24684"/>
    <s v="Delivery sales via QuickDash"/>
    <s v="Delivery Platform Settlement"/>
    <s v="Delivery"/>
    <s v="V05"/>
    <s v="QuickDash Delivery Platform"/>
    <s v="Restaurant Ops"/>
  </r>
  <r>
    <n v="182"/>
    <s v="T0182"/>
    <x v="13"/>
    <s v="105"/>
    <x v="4"/>
    <s v="1000"/>
    <x v="0"/>
    <s v="Asset"/>
    <n v="24684"/>
    <m/>
    <s v="Collection of delivery platform settlement"/>
    <s v="Delivery Platform Settlement"/>
    <s v="Delivery"/>
    <s v="V05"/>
    <s v="QuickDash Delivery Platform"/>
    <s v="Restaurant Ops"/>
  </r>
  <r>
    <n v="182"/>
    <s v="T0182"/>
    <x v="13"/>
    <s v="105"/>
    <x v="4"/>
    <s v="1010"/>
    <x v="5"/>
    <s v="Asset"/>
    <m/>
    <n v="24684"/>
    <s v="Collection of delivery platform settlement"/>
    <s v="Delivery Platform Settlement"/>
    <s v="Delivery"/>
    <s v="V05"/>
    <s v="QuickDash Delivery Platform"/>
    <s v="Restaurant Ops"/>
  </r>
  <r>
    <n v="183"/>
    <s v="T0183"/>
    <x v="13"/>
    <s v="105"/>
    <x v="4"/>
    <s v="5040"/>
    <x v="7"/>
    <s v="Expense"/>
    <n v="3702.6"/>
    <m/>
    <s v="Delivery platform commission fee"/>
    <s v="Cash"/>
    <s v="Delivery"/>
    <s v="V05"/>
    <s v="QuickDash Delivery Platform"/>
    <s v="Restaurant Ops"/>
  </r>
  <r>
    <n v="183"/>
    <s v="T0183"/>
    <x v="13"/>
    <s v="105"/>
    <x v="4"/>
    <s v="1000"/>
    <x v="0"/>
    <s v="Asset"/>
    <m/>
    <n v="3702.6"/>
    <s v="Delivery platform commission fee"/>
    <s v="Cash"/>
    <s v="Delivery"/>
    <s v="V05"/>
    <s v="QuickDash Delivery Platform"/>
    <s v="Restaurant Ops"/>
  </r>
  <r>
    <n v="184"/>
    <s v="T0184"/>
    <x v="14"/>
    <s v="105"/>
    <x v="4"/>
    <s v="1020"/>
    <x v="8"/>
    <s v="Asset"/>
    <n v="43118.46"/>
    <m/>
    <s v="Food &amp; beverage inventory purchase"/>
    <s v="N/A"/>
    <s v="Corporate"/>
    <s v="V02"/>
    <s v="Fresh Produce Partners"/>
    <s v="Supply Chain"/>
  </r>
  <r>
    <n v="184"/>
    <s v="T0184"/>
    <x v="14"/>
    <s v="105"/>
    <x v="4"/>
    <s v="2000"/>
    <x v="9"/>
    <s v="Liability"/>
    <m/>
    <n v="43118.46"/>
    <s v="Food &amp; beverage inventory purchase"/>
    <s v="N/A"/>
    <s v="Corporate"/>
    <s v="V02"/>
    <s v="Fresh Produce Partners"/>
    <s v="Supply Chain"/>
  </r>
  <r>
    <n v="185"/>
    <s v="T0185"/>
    <x v="15"/>
    <s v="105"/>
    <x v="4"/>
    <s v="5000"/>
    <x v="10"/>
    <s v="Expense"/>
    <n v="41065.199999999997"/>
    <m/>
    <s v="Cost of food sold - monthly usage"/>
    <s v="N/A"/>
    <s v="Corporate"/>
    <s v="V02"/>
    <s v="Fresh Produce Partners"/>
    <s v="Restaurant Ops"/>
  </r>
  <r>
    <n v="185"/>
    <s v="T0185"/>
    <x v="15"/>
    <s v="105"/>
    <x v="4"/>
    <s v="1020"/>
    <x v="8"/>
    <s v="Asset"/>
    <m/>
    <n v="41065.199999999997"/>
    <s v="Cost of food sold - monthly usage"/>
    <s v="N/A"/>
    <s v="Corporate"/>
    <s v="V02"/>
    <s v="Fresh Produce Partners"/>
    <s v="Restaurant Ops"/>
  </r>
  <r>
    <n v="186"/>
    <s v="T0186"/>
    <x v="16"/>
    <s v="105"/>
    <x v="4"/>
    <s v="5010"/>
    <x v="11"/>
    <s v="Expense"/>
    <n v="35589.839999999997"/>
    <m/>
    <s v="Bi-weekly payroll"/>
    <s v="Cash"/>
    <s v="Corporate"/>
    <m/>
    <m/>
    <s v="Human Resources"/>
  </r>
  <r>
    <n v="186"/>
    <s v="T0186"/>
    <x v="16"/>
    <s v="105"/>
    <x v="4"/>
    <s v="1000"/>
    <x v="0"/>
    <s v="Asset"/>
    <m/>
    <n v="35589.839999999997"/>
    <s v="Bi-weekly payroll"/>
    <s v="Cash"/>
    <s v="Corporate"/>
    <m/>
    <m/>
    <s v="Human Resources"/>
  </r>
  <r>
    <n v="187"/>
    <s v="T0187"/>
    <x v="17"/>
    <s v="105"/>
    <x v="4"/>
    <s v="5020"/>
    <x v="12"/>
    <s v="Expense"/>
    <n v="11000"/>
    <m/>
    <s v="Monthly rent payment"/>
    <s v="Cash"/>
    <s v="Corporate"/>
    <s v="V08"/>
    <s v="Prime Property Management"/>
    <s v="Finance"/>
  </r>
  <r>
    <n v="187"/>
    <s v="T0187"/>
    <x v="17"/>
    <s v="105"/>
    <x v="4"/>
    <s v="1000"/>
    <x v="0"/>
    <s v="Asset"/>
    <m/>
    <n v="11000"/>
    <s v="Monthly rent payment"/>
    <s v="Cash"/>
    <s v="Corporate"/>
    <s v="V08"/>
    <s v="Prime Property Management"/>
    <s v="Finance"/>
  </r>
  <r>
    <n v="188"/>
    <s v="T0188"/>
    <x v="18"/>
    <s v="105"/>
    <x v="4"/>
    <s v="5030"/>
    <x v="13"/>
    <s v="Expense"/>
    <n v="2987"/>
    <m/>
    <s v="Monthly utilities payment"/>
    <s v="Cash"/>
    <s v="Corporate"/>
    <s v="V07"/>
    <s v="CityWide Utilities"/>
    <s v="Facilities"/>
  </r>
  <r>
    <n v="188"/>
    <s v="T0188"/>
    <x v="18"/>
    <s v="105"/>
    <x v="4"/>
    <s v="1000"/>
    <x v="0"/>
    <s v="Asset"/>
    <m/>
    <n v="2987"/>
    <s v="Monthly utilities payment"/>
    <s v="Cash"/>
    <s v="Corporate"/>
    <s v="V07"/>
    <s v="CityWide Utilities"/>
    <s v="Facilities"/>
  </r>
  <r>
    <n v="189"/>
    <s v="T0189"/>
    <x v="15"/>
    <s v="105"/>
    <x v="4"/>
    <s v="5050"/>
    <x v="14"/>
    <s v="Expense"/>
    <n v="3422.1"/>
    <m/>
    <s v="Credit card processing fees"/>
    <s v="Cash"/>
    <s v="Corporate"/>
    <m/>
    <m/>
    <s v="Finance"/>
  </r>
  <r>
    <n v="189"/>
    <s v="T0189"/>
    <x v="15"/>
    <s v="105"/>
    <x v="4"/>
    <s v="1000"/>
    <x v="0"/>
    <s v="Asset"/>
    <m/>
    <n v="3422.1"/>
    <s v="Credit card processing fees"/>
    <s v="Cash"/>
    <s v="Corporate"/>
    <m/>
    <m/>
    <s v="Finance"/>
  </r>
  <r>
    <n v="190"/>
    <s v="T0190"/>
    <x v="19"/>
    <s v="105"/>
    <x v="4"/>
    <s v="5060"/>
    <x v="15"/>
    <s v="Expense"/>
    <n v="4106.5200000000004"/>
    <m/>
    <s v="Local store marketing spend"/>
    <s v="Cash"/>
    <s v="Corporate"/>
    <s v="V09"/>
    <s v="BrightSign Marketing Agency"/>
    <s v="Marketing"/>
  </r>
  <r>
    <n v="190"/>
    <s v="T0190"/>
    <x v="19"/>
    <s v="105"/>
    <x v="4"/>
    <s v="1000"/>
    <x v="0"/>
    <s v="Asset"/>
    <m/>
    <n v="4106.5200000000004"/>
    <s v="Local store marketing spend"/>
    <s v="Cash"/>
    <s v="Corporate"/>
    <s v="V09"/>
    <s v="BrightSign Marketing Agency"/>
    <s v="Marketing"/>
  </r>
  <r>
    <n v="191"/>
    <s v="T0191"/>
    <x v="15"/>
    <s v="105"/>
    <x v="4"/>
    <s v="5070"/>
    <x v="16"/>
    <s v="Expense"/>
    <n v="5475.36"/>
    <m/>
    <s v="Monthly franchise fee to corporate"/>
    <s v="Cash"/>
    <s v="Corporate"/>
    <s v="V10"/>
    <s v="Trailhead Burger Co. - Corporate"/>
    <s v="Finance"/>
  </r>
  <r>
    <n v="191"/>
    <s v="T0191"/>
    <x v="15"/>
    <s v="105"/>
    <x v="4"/>
    <s v="1000"/>
    <x v="0"/>
    <s v="Asset"/>
    <m/>
    <n v="5475.36"/>
    <s v="Monthly franchise fee to corporate"/>
    <s v="Cash"/>
    <s v="Corporate"/>
    <s v="V10"/>
    <s v="Trailhead Burger Co. - Corporate"/>
    <s v="Finance"/>
  </r>
  <r>
    <n v="192"/>
    <s v="T0192"/>
    <x v="20"/>
    <s v="105"/>
    <x v="4"/>
    <s v="2000"/>
    <x v="9"/>
    <s v="Liability"/>
    <n v="36958.68"/>
    <m/>
    <s v="Payment on vendor account payable"/>
    <s v="Cash"/>
    <s v="Corporate"/>
    <s v="V02"/>
    <s v="Fresh Produce Partners"/>
    <s v="Finance"/>
  </r>
  <r>
    <n v="192"/>
    <s v="T0192"/>
    <x v="20"/>
    <s v="105"/>
    <x v="4"/>
    <s v="1000"/>
    <x v="0"/>
    <s v="Asset"/>
    <m/>
    <n v="36958.68"/>
    <s v="Payment on vendor account payable"/>
    <s v="Cash"/>
    <s v="Corporate"/>
    <s v="V02"/>
    <s v="Fresh Produce Partners"/>
    <s v="Finance"/>
  </r>
  <r>
    <n v="193"/>
    <s v="T0193"/>
    <x v="21"/>
    <s v="105"/>
    <x v="4"/>
    <s v="1000"/>
    <x v="0"/>
    <s v="Asset"/>
    <n v="114400"/>
    <m/>
    <s v="Weekly dine-in &amp; drive-thru sales"/>
    <s v="Cash"/>
    <s v="Dine-In"/>
    <m/>
    <m/>
    <s v="Restaurant Ops"/>
  </r>
  <r>
    <n v="193"/>
    <s v="T0193"/>
    <x v="21"/>
    <s v="105"/>
    <x v="4"/>
    <s v="4000"/>
    <x v="4"/>
    <s v="Revenue"/>
    <m/>
    <n v="114400"/>
    <s v="Weekly dine-in &amp; drive-thru sales"/>
    <s v="Cash"/>
    <s v="Dine-In"/>
    <m/>
    <m/>
    <s v="Restaurant Ops"/>
  </r>
  <r>
    <n v="194"/>
    <s v="T0194"/>
    <x v="22"/>
    <s v="105"/>
    <x v="4"/>
    <s v="1010"/>
    <x v="5"/>
    <s v="Asset"/>
    <n v="25168"/>
    <m/>
    <s v="Delivery sales via QuickDash"/>
    <s v="Delivery Platform Settlement"/>
    <s v="Delivery"/>
    <s v="V05"/>
    <s v="QuickDash Delivery Platform"/>
    <s v="Restaurant Ops"/>
  </r>
  <r>
    <n v="194"/>
    <s v="T0194"/>
    <x v="22"/>
    <s v="105"/>
    <x v="4"/>
    <s v="4010"/>
    <x v="6"/>
    <s v="Revenue"/>
    <m/>
    <n v="25168"/>
    <s v="Delivery sales via QuickDash"/>
    <s v="Delivery Platform Settlement"/>
    <s v="Delivery"/>
    <s v="V05"/>
    <s v="QuickDash Delivery Platform"/>
    <s v="Restaurant Ops"/>
  </r>
  <r>
    <n v="195"/>
    <s v="T0195"/>
    <x v="23"/>
    <s v="105"/>
    <x v="4"/>
    <s v="1000"/>
    <x v="0"/>
    <s v="Asset"/>
    <n v="25168"/>
    <m/>
    <s v="Collection of delivery platform settlement"/>
    <s v="Delivery Platform Settlement"/>
    <s v="Delivery"/>
    <s v="V05"/>
    <s v="QuickDash Delivery Platform"/>
    <s v="Restaurant Ops"/>
  </r>
  <r>
    <n v="195"/>
    <s v="T0195"/>
    <x v="23"/>
    <s v="105"/>
    <x v="4"/>
    <s v="1010"/>
    <x v="5"/>
    <s v="Asset"/>
    <m/>
    <n v="25168"/>
    <s v="Collection of delivery platform settlement"/>
    <s v="Delivery Platform Settlement"/>
    <s v="Delivery"/>
    <s v="V05"/>
    <s v="QuickDash Delivery Platform"/>
    <s v="Restaurant Ops"/>
  </r>
  <r>
    <n v="196"/>
    <s v="T0196"/>
    <x v="23"/>
    <s v="105"/>
    <x v="4"/>
    <s v="5040"/>
    <x v="7"/>
    <s v="Expense"/>
    <n v="3775.2"/>
    <m/>
    <s v="Delivery platform commission fee"/>
    <s v="Cash"/>
    <s v="Delivery"/>
    <s v="V05"/>
    <s v="QuickDash Delivery Platform"/>
    <s v="Restaurant Ops"/>
  </r>
  <r>
    <n v="196"/>
    <s v="T0196"/>
    <x v="23"/>
    <s v="105"/>
    <x v="4"/>
    <s v="1000"/>
    <x v="0"/>
    <s v="Asset"/>
    <m/>
    <n v="3775.2"/>
    <s v="Delivery platform commission fee"/>
    <s v="Cash"/>
    <s v="Delivery"/>
    <s v="V05"/>
    <s v="QuickDash Delivery Platform"/>
    <s v="Restaurant Ops"/>
  </r>
  <r>
    <n v="197"/>
    <s v="T0197"/>
    <x v="24"/>
    <s v="105"/>
    <x v="4"/>
    <s v="1020"/>
    <x v="8"/>
    <s v="Asset"/>
    <n v="43963.92"/>
    <m/>
    <s v="Food &amp; beverage inventory purchase"/>
    <s v="N/A"/>
    <s v="Corporate"/>
    <s v="V01"/>
    <s v="Gulf Coast Meat Supply"/>
    <s v="Supply Chain"/>
  </r>
  <r>
    <n v="197"/>
    <s v="T0197"/>
    <x v="24"/>
    <s v="105"/>
    <x v="4"/>
    <s v="2000"/>
    <x v="9"/>
    <s v="Liability"/>
    <m/>
    <n v="43963.92"/>
    <s v="Food &amp; beverage inventory purchase"/>
    <s v="N/A"/>
    <s v="Corporate"/>
    <s v="V01"/>
    <s v="Gulf Coast Meat Supply"/>
    <s v="Supply Chain"/>
  </r>
  <r>
    <n v="198"/>
    <s v="T0198"/>
    <x v="25"/>
    <s v="105"/>
    <x v="4"/>
    <s v="5000"/>
    <x v="10"/>
    <s v="Expense"/>
    <n v="41870.400000000001"/>
    <m/>
    <s v="Cost of food sold - monthly usage"/>
    <s v="N/A"/>
    <s v="Corporate"/>
    <s v="V01"/>
    <s v="Gulf Coast Meat Supply"/>
    <s v="Restaurant Ops"/>
  </r>
  <r>
    <n v="198"/>
    <s v="T0198"/>
    <x v="25"/>
    <s v="105"/>
    <x v="4"/>
    <s v="1020"/>
    <x v="8"/>
    <s v="Asset"/>
    <m/>
    <n v="41870.400000000001"/>
    <s v="Cost of food sold - monthly usage"/>
    <s v="N/A"/>
    <s v="Corporate"/>
    <s v="V01"/>
    <s v="Gulf Coast Meat Supply"/>
    <s v="Restaurant Ops"/>
  </r>
  <r>
    <n v="199"/>
    <s v="T0199"/>
    <x v="26"/>
    <s v="105"/>
    <x v="4"/>
    <s v="5010"/>
    <x v="11"/>
    <s v="Expense"/>
    <n v="36287.68"/>
    <m/>
    <s v="Bi-weekly payroll"/>
    <s v="Cash"/>
    <s v="Corporate"/>
    <m/>
    <m/>
    <s v="Human Resources"/>
  </r>
  <r>
    <n v="199"/>
    <s v="T0199"/>
    <x v="26"/>
    <s v="105"/>
    <x v="4"/>
    <s v="1000"/>
    <x v="0"/>
    <s v="Asset"/>
    <m/>
    <n v="36287.68"/>
    <s v="Bi-weekly payroll"/>
    <s v="Cash"/>
    <s v="Corporate"/>
    <m/>
    <m/>
    <s v="Human Resources"/>
  </r>
  <r>
    <n v="200"/>
    <s v="T0200"/>
    <x v="27"/>
    <s v="105"/>
    <x v="4"/>
    <s v="5020"/>
    <x v="12"/>
    <s v="Expense"/>
    <n v="11000"/>
    <m/>
    <s v="Monthly rent payment"/>
    <s v="Cash"/>
    <s v="Corporate"/>
    <s v="V08"/>
    <s v="Prime Property Management"/>
    <s v="Finance"/>
  </r>
  <r>
    <n v="200"/>
    <s v="T0200"/>
    <x v="27"/>
    <s v="105"/>
    <x v="4"/>
    <s v="1000"/>
    <x v="0"/>
    <s v="Asset"/>
    <m/>
    <n v="11000"/>
    <s v="Monthly rent payment"/>
    <s v="Cash"/>
    <s v="Corporate"/>
    <s v="V08"/>
    <s v="Prime Property Management"/>
    <s v="Finance"/>
  </r>
  <r>
    <n v="201"/>
    <s v="T0201"/>
    <x v="28"/>
    <s v="105"/>
    <x v="4"/>
    <s v="5030"/>
    <x v="13"/>
    <s v="Expense"/>
    <n v="3074"/>
    <m/>
    <s v="Monthly utilities payment"/>
    <s v="Cash"/>
    <s v="Corporate"/>
    <s v="V07"/>
    <s v="CityWide Utilities"/>
    <s v="Facilities"/>
  </r>
  <r>
    <n v="201"/>
    <s v="T0201"/>
    <x v="28"/>
    <s v="105"/>
    <x v="4"/>
    <s v="1000"/>
    <x v="0"/>
    <s v="Asset"/>
    <m/>
    <n v="3074"/>
    <s v="Monthly utilities payment"/>
    <s v="Cash"/>
    <s v="Corporate"/>
    <s v="V07"/>
    <s v="CityWide Utilities"/>
    <s v="Facilities"/>
  </r>
  <r>
    <n v="202"/>
    <s v="T0202"/>
    <x v="25"/>
    <s v="105"/>
    <x v="4"/>
    <s v="5050"/>
    <x v="14"/>
    <s v="Expense"/>
    <n v="3489.2"/>
    <m/>
    <s v="Credit card processing fees"/>
    <s v="Cash"/>
    <s v="Corporate"/>
    <m/>
    <m/>
    <s v="Finance"/>
  </r>
  <r>
    <n v="202"/>
    <s v="T0202"/>
    <x v="25"/>
    <s v="105"/>
    <x v="4"/>
    <s v="1000"/>
    <x v="0"/>
    <s v="Asset"/>
    <m/>
    <n v="3489.2"/>
    <s v="Credit card processing fees"/>
    <s v="Cash"/>
    <s v="Corporate"/>
    <m/>
    <m/>
    <s v="Finance"/>
  </r>
  <r>
    <n v="203"/>
    <s v="T0203"/>
    <x v="29"/>
    <s v="105"/>
    <x v="4"/>
    <s v="5060"/>
    <x v="15"/>
    <s v="Expense"/>
    <n v="4187.04"/>
    <m/>
    <s v="Local store marketing spend"/>
    <s v="Cash"/>
    <s v="Corporate"/>
    <s v="V09"/>
    <s v="BrightSign Marketing Agency"/>
    <s v="Marketing"/>
  </r>
  <r>
    <n v="203"/>
    <s v="T0203"/>
    <x v="29"/>
    <s v="105"/>
    <x v="4"/>
    <s v="1000"/>
    <x v="0"/>
    <s v="Asset"/>
    <m/>
    <n v="4187.04"/>
    <s v="Local store marketing spend"/>
    <s v="Cash"/>
    <s v="Corporate"/>
    <s v="V09"/>
    <s v="BrightSign Marketing Agency"/>
    <s v="Marketing"/>
  </r>
  <r>
    <n v="204"/>
    <s v="T0204"/>
    <x v="30"/>
    <s v="105"/>
    <x v="4"/>
    <s v="5070"/>
    <x v="16"/>
    <s v="Expense"/>
    <n v="5582.72"/>
    <m/>
    <s v="Monthly franchise fee to corporate"/>
    <s v="Cash"/>
    <s v="Corporate"/>
    <s v="V10"/>
    <s v="Trailhead Burger Co. - Corporate"/>
    <s v="Finance"/>
  </r>
  <r>
    <n v="204"/>
    <s v="T0204"/>
    <x v="30"/>
    <s v="105"/>
    <x v="4"/>
    <s v="1000"/>
    <x v="0"/>
    <s v="Asset"/>
    <m/>
    <n v="5582.72"/>
    <s v="Monthly franchise fee to corporate"/>
    <s v="Cash"/>
    <s v="Corporate"/>
    <s v="V10"/>
    <s v="Trailhead Burger Co. - Corporate"/>
    <s v="Finance"/>
  </r>
  <r>
    <n v="205"/>
    <s v="T0205"/>
    <x v="31"/>
    <s v="105"/>
    <x v="4"/>
    <s v="2000"/>
    <x v="9"/>
    <s v="Liability"/>
    <n v="37683.360000000001"/>
    <m/>
    <s v="Payment on vendor account payable"/>
    <s v="Cash"/>
    <s v="Corporate"/>
    <s v="V01"/>
    <s v="Gulf Coast Meat Supply"/>
    <s v="Finance"/>
  </r>
  <r>
    <n v="205"/>
    <s v="T0205"/>
    <x v="31"/>
    <s v="105"/>
    <x v="4"/>
    <s v="1000"/>
    <x v="0"/>
    <s v="Asset"/>
    <m/>
    <n v="37683.360000000001"/>
    <s v="Payment on vendor account payable"/>
    <s v="Cash"/>
    <s v="Corporate"/>
    <s v="V01"/>
    <s v="Gulf Coast Meat Supply"/>
    <s v="Financ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001279-F7B5-46C4-8431-08674336AFC3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2" firstHeaderRow="1" firstDataRow="4" firstDataCol="1" rowPageCount="1" colPageCount="1"/>
  <pivotFields count="19">
    <pivotField showAll="0"/>
    <pivotField showAll="0"/>
    <pivotField axis="axisCol" numFmtId="164" showAll="0">
      <items count="33">
        <item x="7"/>
        <item x="0"/>
        <item x="1"/>
        <item x="2"/>
        <item x="4"/>
        <item x="3"/>
        <item x="9"/>
        <item x="6"/>
        <item x="8"/>
        <item x="5"/>
        <item x="10"/>
        <item x="17"/>
        <item x="11"/>
        <item x="12"/>
        <item x="14"/>
        <item x="13"/>
        <item x="19"/>
        <item x="16"/>
        <item x="20"/>
        <item x="18"/>
        <item x="15"/>
        <item x="27"/>
        <item x="21"/>
        <item x="22"/>
        <item x="24"/>
        <item x="23"/>
        <item x="29"/>
        <item x="26"/>
        <item x="31"/>
        <item x="28"/>
        <item x="25"/>
        <item x="30"/>
        <item t="default"/>
      </items>
    </pivotField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axis="axisPage" multipleItemSelectionAllowed="1" showAll="0">
      <items count="18">
        <item h="1" x="9"/>
        <item h="1" x="5"/>
        <item h="1" x="0"/>
        <item h="1" x="14"/>
        <item h="1" x="7"/>
        <item x="6"/>
        <item h="1" x="3"/>
        <item h="1" x="10"/>
        <item h="1" x="16"/>
        <item h="1" x="8"/>
        <item h="1" x="11"/>
        <item h="1" x="2"/>
        <item h="1" x="15"/>
        <item h="1" x="1"/>
        <item h="1" x="12"/>
        <item x="4"/>
        <item h="1" x="1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dragToRow="0" dragToCol="0" dragToPage="0" showAll="0" defaultSubtota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3">
    <field x="17"/>
    <field x="16"/>
    <field x="2"/>
  </colFields>
  <colItems count="4">
    <i>
      <x v="1"/>
    </i>
    <i>
      <x v="2"/>
    </i>
    <i>
      <x v="3"/>
    </i>
    <i t="grand">
      <x/>
    </i>
  </colItems>
  <pageFields count="1">
    <pageField fld="6" hier="-1"/>
  </pageFields>
  <dataFields count="1">
    <dataField name="Sum of Credi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51A212-F8D0-4964-9D6E-6E3015D317C7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2" firstHeaderRow="1" firstDataRow="4" firstDataCol="1" rowPageCount="1" colPageCount="1"/>
  <pivotFields count="19">
    <pivotField showAll="0"/>
    <pivotField showAll="0"/>
    <pivotField axis="axisCol" numFmtId="164" showAll="0">
      <items count="33">
        <item x="7"/>
        <item x="0"/>
        <item x="1"/>
        <item x="2"/>
        <item x="4"/>
        <item x="3"/>
        <item x="9"/>
        <item x="6"/>
        <item x="8"/>
        <item x="5"/>
        <item x="10"/>
        <item x="17"/>
        <item x="11"/>
        <item x="12"/>
        <item x="14"/>
        <item x="13"/>
        <item x="19"/>
        <item x="16"/>
        <item x="20"/>
        <item x="18"/>
        <item x="15"/>
        <item x="27"/>
        <item x="21"/>
        <item x="22"/>
        <item x="24"/>
        <item x="23"/>
        <item x="29"/>
        <item x="26"/>
        <item x="31"/>
        <item x="28"/>
        <item x="25"/>
        <item x="30"/>
        <item t="default"/>
      </items>
    </pivotField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axis="axisPage" multipleItemSelectionAllowed="1" showAll="0">
      <items count="18">
        <item h="1" x="9"/>
        <item h="1" x="5"/>
        <item h="1" x="0"/>
        <item h="1" x="14"/>
        <item h="1" x="7"/>
        <item h="1" x="6"/>
        <item h="1" x="3"/>
        <item x="10"/>
        <item h="1" x="16"/>
        <item h="1" x="8"/>
        <item h="1" x="11"/>
        <item h="1" x="2"/>
        <item h="1" x="15"/>
        <item h="1" x="1"/>
        <item h="1" x="12"/>
        <item h="1" x="4"/>
        <item h="1" x="1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Col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Col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dragToRow="0" dragToCol="0" dragToPage="0" showAll="0" defaultSubtota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3">
    <field x="17"/>
    <field x="16"/>
    <field x="2"/>
  </colFields>
  <colItems count="4">
    <i>
      <x v="1"/>
    </i>
    <i>
      <x v="2"/>
    </i>
    <i>
      <x v="3"/>
    </i>
    <i t="grand">
      <x/>
    </i>
  </colItems>
  <pageFields count="1">
    <pageField fld="6" hier="-1"/>
  </pageFields>
  <dataFields count="1">
    <dataField name="Sum of Debi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99992C-CCE8-485B-94C7-84369067CC31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13" firstHeaderRow="1" firstDataRow="5" firstDataCol="1" rowPageCount="1" colPageCount="1"/>
  <pivotFields count="19">
    <pivotField showAll="0"/>
    <pivotField showAll="0"/>
    <pivotField axis="axisCol" numFmtId="164" showAll="0">
      <items count="33">
        <item x="7"/>
        <item x="0"/>
        <item x="1"/>
        <item x="2"/>
        <item x="4"/>
        <item x="3"/>
        <item x="9"/>
        <item x="6"/>
        <item x="8"/>
        <item x="5"/>
        <item x="10"/>
        <item x="17"/>
        <item x="11"/>
        <item x="12"/>
        <item x="14"/>
        <item x="13"/>
        <item x="19"/>
        <item x="16"/>
        <item x="20"/>
        <item x="18"/>
        <item x="15"/>
        <item x="27"/>
        <item x="21"/>
        <item x="22"/>
        <item x="24"/>
        <item x="23"/>
        <item x="29"/>
        <item x="26"/>
        <item x="31"/>
        <item x="28"/>
        <item x="25"/>
        <item x="30"/>
        <item t="default"/>
      </items>
    </pivotField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axis="axisPage" multipleItemSelectionAllowed="1" showAll="0">
      <items count="18">
        <item h="1" x="9"/>
        <item h="1" x="5"/>
        <item h="1" x="0"/>
        <item h="1" x="14"/>
        <item h="1" x="7"/>
        <item x="6"/>
        <item h="1" x="3"/>
        <item x="10"/>
        <item h="1" x="16"/>
        <item h="1" x="8"/>
        <item h="1" x="11"/>
        <item h="1" x="2"/>
        <item h="1" x="15"/>
        <item h="1" x="1"/>
        <item h="1" x="12"/>
        <item x="4"/>
        <item h="1" x="13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axis="axisCol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Col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dataField="1" dragToRow="0" dragToCol="0" dragToPage="0" showAll="0" defaultSubtota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4">
    <field x="17"/>
    <field x="16"/>
    <field x="2"/>
    <field x="-2"/>
  </colFields>
  <colItems count="12">
    <i>
      <x v="1"/>
      <x v="1048832"/>
      <x v="1048832"/>
      <x/>
    </i>
    <i r="3" i="1">
      <x v="1"/>
    </i>
    <i r="3" i="2">
      <x v="2"/>
    </i>
    <i>
      <x v="2"/>
      <x v="1048832"/>
      <x v="1048832"/>
      <x/>
    </i>
    <i r="3" i="1">
      <x v="1"/>
    </i>
    <i r="3" i="2">
      <x v="2"/>
    </i>
    <i>
      <x v="3"/>
      <x v="1048832"/>
      <x v="1048832"/>
      <x/>
    </i>
    <i r="3" i="1">
      <x v="1"/>
    </i>
    <i r="3" i="2">
      <x v="2"/>
    </i>
    <i t="grand">
      <x/>
    </i>
    <i t="grand" i="1">
      <x/>
    </i>
    <i t="grand" i="2">
      <x/>
    </i>
  </colItems>
  <pageFields count="1">
    <pageField fld="6" hier="-1"/>
  </pageFields>
  <dataFields count="3">
    <dataField name="Sum of Credit" fld="9" baseField="0" baseItem="0"/>
    <dataField name="Sum of Debit" fld="8" baseField="0" baseItem="0"/>
    <dataField name="Sum of Food_Cost_Pct" fld="18" baseField="4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zoomScaleNormal="100" workbookViewId="0"/>
  </sheetViews>
  <sheetFormatPr defaultColWidth="8.7109375" defaultRowHeight="15" x14ac:dyDescent="0.25"/>
  <cols>
    <col min="1" max="1" width="110" customWidth="1"/>
  </cols>
  <sheetData>
    <row r="1" spans="1:1" ht="18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/>
    </row>
    <row r="4" spans="1:1" x14ac:dyDescent="0.25">
      <c r="A4" s="4" t="s">
        <v>2</v>
      </c>
    </row>
    <row r="5" spans="1:1" x14ac:dyDescent="0.25">
      <c r="A5" s="3" t="s">
        <v>3</v>
      </c>
    </row>
    <row r="6" spans="1:1" x14ac:dyDescent="0.25">
      <c r="A6" s="3" t="s">
        <v>4</v>
      </c>
    </row>
    <row r="7" spans="1:1" x14ac:dyDescent="0.25">
      <c r="A7" s="3" t="s">
        <v>5</v>
      </c>
    </row>
    <row r="8" spans="1:1" x14ac:dyDescent="0.25">
      <c r="A8" s="3" t="s">
        <v>6</v>
      </c>
    </row>
    <row r="9" spans="1:1" x14ac:dyDescent="0.25">
      <c r="A9" s="3" t="s">
        <v>7</v>
      </c>
    </row>
    <row r="10" spans="1:1" x14ac:dyDescent="0.25">
      <c r="A10" s="3" t="s">
        <v>8</v>
      </c>
    </row>
    <row r="11" spans="1:1" x14ac:dyDescent="0.25">
      <c r="A11" s="3" t="s">
        <v>9</v>
      </c>
    </row>
    <row r="12" spans="1:1" x14ac:dyDescent="0.25">
      <c r="A12" s="3" t="s">
        <v>10</v>
      </c>
    </row>
    <row r="13" spans="1:1" x14ac:dyDescent="0.25">
      <c r="A13" s="3"/>
    </row>
    <row r="14" spans="1:1" x14ac:dyDescent="0.25">
      <c r="A14" s="4" t="s">
        <v>11</v>
      </c>
    </row>
    <row r="15" spans="1:1" x14ac:dyDescent="0.25">
      <c r="A15" s="3" t="s">
        <v>12</v>
      </c>
    </row>
    <row r="16" spans="1:1" x14ac:dyDescent="0.25">
      <c r="A16" s="3" t="s">
        <v>13</v>
      </c>
    </row>
    <row r="17" spans="1:1" x14ac:dyDescent="0.25">
      <c r="A17" s="3" t="s">
        <v>14</v>
      </c>
    </row>
    <row r="18" spans="1:1" x14ac:dyDescent="0.25">
      <c r="A18" s="3" t="s">
        <v>15</v>
      </c>
    </row>
    <row r="19" spans="1:1" x14ac:dyDescent="0.25">
      <c r="A19" s="3"/>
    </row>
    <row r="20" spans="1:1" x14ac:dyDescent="0.25">
      <c r="A20" s="4" t="s">
        <v>16</v>
      </c>
    </row>
    <row r="21" spans="1:1" x14ac:dyDescent="0.25">
      <c r="A21" s="3" t="s">
        <v>17</v>
      </c>
    </row>
    <row r="22" spans="1:1" x14ac:dyDescent="0.25">
      <c r="A22" s="3" t="s">
        <v>18</v>
      </c>
    </row>
    <row r="23" spans="1:1" x14ac:dyDescent="0.25">
      <c r="A23" s="3" t="s">
        <v>19</v>
      </c>
    </row>
    <row r="24" spans="1:1" x14ac:dyDescent="0.25">
      <c r="A24" s="3" t="s">
        <v>20</v>
      </c>
    </row>
    <row r="25" spans="1:1" x14ac:dyDescent="0.25">
      <c r="A25" s="3" t="s">
        <v>21</v>
      </c>
    </row>
    <row r="26" spans="1:1" x14ac:dyDescent="0.25">
      <c r="A26" s="3"/>
    </row>
    <row r="27" spans="1:1" x14ac:dyDescent="0.25">
      <c r="A27" s="4" t="s">
        <v>22</v>
      </c>
    </row>
    <row r="28" spans="1:1" x14ac:dyDescent="0.25">
      <c r="A28" s="3" t="s">
        <v>23</v>
      </c>
    </row>
    <row r="29" spans="1:1" x14ac:dyDescent="0.25">
      <c r="A29" s="3" t="s">
        <v>24</v>
      </c>
    </row>
    <row r="30" spans="1:1" x14ac:dyDescent="0.25">
      <c r="A30" s="3" t="s">
        <v>25</v>
      </c>
    </row>
    <row r="31" spans="1:1" x14ac:dyDescent="0.25">
      <c r="A31" s="3" t="s">
        <v>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zoomScaleNormal="100" workbookViewId="0">
      <selection activeCell="C13" sqref="C13"/>
    </sheetView>
  </sheetViews>
  <sheetFormatPr defaultColWidth="8.7109375" defaultRowHeight="15" x14ac:dyDescent="0.25"/>
  <cols>
    <col min="1" max="1" width="12" customWidth="1"/>
    <col min="2" max="2" width="24" customWidth="1"/>
    <col min="3" max="3" width="14" customWidth="1"/>
    <col min="4" max="4" width="16" customWidth="1"/>
  </cols>
  <sheetData>
    <row r="1" spans="1:4" ht="25.5" x14ac:dyDescent="0.25">
      <c r="A1" s="5" t="s">
        <v>27</v>
      </c>
      <c r="B1" s="5" t="s">
        <v>28</v>
      </c>
      <c r="C1" s="5" t="s">
        <v>29</v>
      </c>
      <c r="D1" s="5" t="s">
        <v>30</v>
      </c>
    </row>
    <row r="2" spans="1:4" x14ac:dyDescent="0.25">
      <c r="A2" s="6" t="s">
        <v>31</v>
      </c>
      <c r="B2" s="6" t="s">
        <v>32</v>
      </c>
      <c r="C2" s="6" t="s">
        <v>33</v>
      </c>
      <c r="D2" s="6" t="s">
        <v>34</v>
      </c>
    </row>
    <row r="3" spans="1:4" x14ac:dyDescent="0.25">
      <c r="A3" s="6" t="s">
        <v>35</v>
      </c>
      <c r="B3" s="6" t="s">
        <v>36</v>
      </c>
      <c r="C3" s="6" t="s">
        <v>33</v>
      </c>
      <c r="D3" s="6" t="s">
        <v>34</v>
      </c>
    </row>
    <row r="4" spans="1:4" x14ac:dyDescent="0.25">
      <c r="A4" s="6" t="s">
        <v>37</v>
      </c>
      <c r="B4" s="6" t="s">
        <v>38</v>
      </c>
      <c r="C4" s="6" t="s">
        <v>33</v>
      </c>
      <c r="D4" s="6" t="s">
        <v>34</v>
      </c>
    </row>
    <row r="5" spans="1:4" x14ac:dyDescent="0.25">
      <c r="A5" s="6" t="s">
        <v>39</v>
      </c>
      <c r="B5" s="6" t="s">
        <v>40</v>
      </c>
      <c r="C5" s="6" t="s">
        <v>33</v>
      </c>
      <c r="D5" s="6" t="s">
        <v>34</v>
      </c>
    </row>
    <row r="6" spans="1:4" x14ac:dyDescent="0.25">
      <c r="A6" s="6" t="s">
        <v>41</v>
      </c>
      <c r="B6" s="6" t="s">
        <v>42</v>
      </c>
      <c r="C6" s="6" t="s">
        <v>43</v>
      </c>
      <c r="D6" s="6" t="s">
        <v>44</v>
      </c>
    </row>
    <row r="7" spans="1:4" x14ac:dyDescent="0.25">
      <c r="A7" s="6" t="s">
        <v>45</v>
      </c>
      <c r="B7" s="6" t="s">
        <v>46</v>
      </c>
      <c r="C7" s="6" t="s">
        <v>43</v>
      </c>
      <c r="D7" s="6" t="s">
        <v>44</v>
      </c>
    </row>
    <row r="8" spans="1:4" x14ac:dyDescent="0.25">
      <c r="A8" s="6" t="s">
        <v>47</v>
      </c>
      <c r="B8" s="6" t="s">
        <v>48</v>
      </c>
      <c r="C8" s="6" t="s">
        <v>49</v>
      </c>
      <c r="D8" s="6" t="s">
        <v>44</v>
      </c>
    </row>
    <row r="9" spans="1:4" x14ac:dyDescent="0.25">
      <c r="A9" s="6" t="s">
        <v>50</v>
      </c>
      <c r="B9" s="6" t="s">
        <v>51</v>
      </c>
      <c r="C9" s="6" t="s">
        <v>52</v>
      </c>
      <c r="D9" s="6" t="s">
        <v>44</v>
      </c>
    </row>
    <row r="10" spans="1:4" x14ac:dyDescent="0.25">
      <c r="A10" s="6" t="s">
        <v>53</v>
      </c>
      <c r="B10" s="6" t="s">
        <v>54</v>
      </c>
      <c r="C10" s="6" t="s">
        <v>52</v>
      </c>
      <c r="D10" s="6" t="s">
        <v>44</v>
      </c>
    </row>
    <row r="11" spans="1:4" x14ac:dyDescent="0.25">
      <c r="A11" s="6" t="s">
        <v>55</v>
      </c>
      <c r="B11" s="6" t="s">
        <v>56</v>
      </c>
      <c r="C11" s="6" t="s">
        <v>57</v>
      </c>
      <c r="D11" s="6" t="s">
        <v>34</v>
      </c>
    </row>
    <row r="12" spans="1:4" x14ac:dyDescent="0.25">
      <c r="A12" s="6" t="s">
        <v>58</v>
      </c>
      <c r="B12" s="6" t="s">
        <v>59</v>
      </c>
      <c r="C12" s="6" t="s">
        <v>57</v>
      </c>
      <c r="D12" s="6" t="s">
        <v>34</v>
      </c>
    </row>
    <row r="13" spans="1:4" x14ac:dyDescent="0.25">
      <c r="A13" s="6" t="s">
        <v>60</v>
      </c>
      <c r="B13" s="6" t="s">
        <v>61</v>
      </c>
      <c r="C13" s="6" t="s">
        <v>57</v>
      </c>
      <c r="D13" s="6" t="s">
        <v>34</v>
      </c>
    </row>
    <row r="14" spans="1:4" x14ac:dyDescent="0.25">
      <c r="A14" s="6" t="s">
        <v>62</v>
      </c>
      <c r="B14" s="6" t="s">
        <v>63</v>
      </c>
      <c r="C14" s="6" t="s">
        <v>57</v>
      </c>
      <c r="D14" s="6" t="s">
        <v>34</v>
      </c>
    </row>
    <row r="15" spans="1:4" x14ac:dyDescent="0.25">
      <c r="A15" s="6" t="s">
        <v>64</v>
      </c>
      <c r="B15" s="6" t="s">
        <v>65</v>
      </c>
      <c r="C15" s="6" t="s">
        <v>57</v>
      </c>
      <c r="D15" s="6" t="s">
        <v>34</v>
      </c>
    </row>
    <row r="16" spans="1:4" x14ac:dyDescent="0.25">
      <c r="A16" s="6" t="s">
        <v>66</v>
      </c>
      <c r="B16" s="6" t="s">
        <v>67</v>
      </c>
      <c r="C16" s="6" t="s">
        <v>57</v>
      </c>
      <c r="D16" s="6" t="s">
        <v>34</v>
      </c>
    </row>
    <row r="17" spans="1:4" x14ac:dyDescent="0.25">
      <c r="A17" s="6" t="s">
        <v>68</v>
      </c>
      <c r="B17" s="6" t="s">
        <v>69</v>
      </c>
      <c r="C17" s="6" t="s">
        <v>57</v>
      </c>
      <c r="D17" s="6" t="s">
        <v>34</v>
      </c>
    </row>
    <row r="18" spans="1:4" x14ac:dyDescent="0.25">
      <c r="A18" s="6" t="s">
        <v>70</v>
      </c>
      <c r="B18" s="6" t="s">
        <v>71</v>
      </c>
      <c r="C18" s="6" t="s">
        <v>57</v>
      </c>
      <c r="D18" s="6" t="s">
        <v>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zoomScaleNormal="100" workbookViewId="0"/>
  </sheetViews>
  <sheetFormatPr defaultColWidth="8.7109375" defaultRowHeight="15" x14ac:dyDescent="0.25"/>
  <cols>
    <col min="1" max="1" width="14" customWidth="1"/>
    <col min="2" max="2" width="42" customWidth="1"/>
  </cols>
  <sheetData>
    <row r="1" spans="1:2" x14ac:dyDescent="0.25">
      <c r="A1" s="5" t="s">
        <v>72</v>
      </c>
      <c r="B1" s="5" t="s">
        <v>73</v>
      </c>
    </row>
    <row r="2" spans="1:2" x14ac:dyDescent="0.25">
      <c r="A2" s="6" t="s">
        <v>74</v>
      </c>
      <c r="B2" s="6" t="s">
        <v>75</v>
      </c>
    </row>
    <row r="3" spans="1:2" x14ac:dyDescent="0.25">
      <c r="A3" s="6" t="s">
        <v>76</v>
      </c>
      <c r="B3" s="6" t="s">
        <v>77</v>
      </c>
    </row>
    <row r="4" spans="1:2" x14ac:dyDescent="0.25">
      <c r="A4" s="6" t="s">
        <v>78</v>
      </c>
      <c r="B4" s="6" t="s">
        <v>79</v>
      </c>
    </row>
    <row r="5" spans="1:2" x14ac:dyDescent="0.25">
      <c r="A5" s="6" t="s">
        <v>80</v>
      </c>
      <c r="B5" s="6" t="s">
        <v>81</v>
      </c>
    </row>
    <row r="6" spans="1:2" x14ac:dyDescent="0.25">
      <c r="A6" s="6" t="s">
        <v>82</v>
      </c>
      <c r="B6" s="6" t="s">
        <v>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zoomScaleNormal="100" workbookViewId="0"/>
  </sheetViews>
  <sheetFormatPr defaultColWidth="8.7109375" defaultRowHeight="15" x14ac:dyDescent="0.25"/>
  <cols>
    <col min="1" max="1" width="12" customWidth="1"/>
    <col min="2" max="2" width="32" customWidth="1"/>
  </cols>
  <sheetData>
    <row r="1" spans="1:2" x14ac:dyDescent="0.25">
      <c r="A1" s="5" t="s">
        <v>84</v>
      </c>
      <c r="B1" s="5" t="s">
        <v>85</v>
      </c>
    </row>
    <row r="2" spans="1:2" x14ac:dyDescent="0.25">
      <c r="A2" s="6" t="s">
        <v>86</v>
      </c>
      <c r="B2" s="6" t="s">
        <v>87</v>
      </c>
    </row>
    <row r="3" spans="1:2" x14ac:dyDescent="0.25">
      <c r="A3" s="6" t="s">
        <v>88</v>
      </c>
      <c r="B3" s="6" t="s">
        <v>89</v>
      </c>
    </row>
    <row r="4" spans="1:2" x14ac:dyDescent="0.25">
      <c r="A4" s="6" t="s">
        <v>90</v>
      </c>
      <c r="B4" s="6" t="s">
        <v>91</v>
      </c>
    </row>
    <row r="5" spans="1:2" x14ac:dyDescent="0.25">
      <c r="A5" s="6" t="s">
        <v>92</v>
      </c>
      <c r="B5" s="6" t="s">
        <v>93</v>
      </c>
    </row>
    <row r="6" spans="1:2" x14ac:dyDescent="0.25">
      <c r="A6" s="6" t="s">
        <v>94</v>
      </c>
      <c r="B6" s="6" t="s">
        <v>95</v>
      </c>
    </row>
    <row r="7" spans="1:2" x14ac:dyDescent="0.25">
      <c r="A7" s="6" t="s">
        <v>96</v>
      </c>
      <c r="B7" s="6" t="s">
        <v>97</v>
      </c>
    </row>
    <row r="8" spans="1:2" x14ac:dyDescent="0.25">
      <c r="A8" s="6" t="s">
        <v>98</v>
      </c>
      <c r="B8" s="6" t="s">
        <v>99</v>
      </c>
    </row>
    <row r="9" spans="1:2" x14ac:dyDescent="0.25">
      <c r="A9" s="6" t="s">
        <v>100</v>
      </c>
      <c r="B9" s="6" t="s">
        <v>101</v>
      </c>
    </row>
    <row r="10" spans="1:2" x14ac:dyDescent="0.25">
      <c r="A10" s="6" t="s">
        <v>102</v>
      </c>
      <c r="B10" s="6" t="s">
        <v>103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8E776-2454-4462-BF4F-9603AC4E868A}">
  <dimension ref="A1:E12"/>
  <sheetViews>
    <sheetView workbookViewId="0"/>
  </sheetViews>
  <sheetFormatPr defaultRowHeight="15" x14ac:dyDescent="0.25"/>
  <cols>
    <col min="1" max="1" width="41.28515625" bestFit="1" customWidth="1"/>
    <col min="2" max="2" width="17.85546875" bestFit="1" customWidth="1"/>
    <col min="3" max="4" width="7" bestFit="1" customWidth="1"/>
    <col min="5" max="5" width="11.28515625" bestFit="1" customWidth="1"/>
    <col min="6" max="33" width="10.42578125" bestFit="1" customWidth="1"/>
    <col min="34" max="34" width="11.28515625" bestFit="1" customWidth="1"/>
  </cols>
  <sheetData>
    <row r="1" spans="1:5" x14ac:dyDescent="0.25">
      <c r="A1" s="22" t="s">
        <v>28</v>
      </c>
      <c r="B1" t="s">
        <v>382</v>
      </c>
    </row>
    <row r="3" spans="1:5" x14ac:dyDescent="0.25">
      <c r="A3" s="22" t="s">
        <v>377</v>
      </c>
      <c r="B3" s="22" t="s">
        <v>381</v>
      </c>
    </row>
    <row r="4" spans="1:5" x14ac:dyDescent="0.25">
      <c r="B4" t="s">
        <v>378</v>
      </c>
      <c r="C4" t="s">
        <v>379</v>
      </c>
      <c r="D4" t="s">
        <v>380</v>
      </c>
      <c r="E4" t="s">
        <v>376</v>
      </c>
    </row>
    <row r="6" spans="1:5" x14ac:dyDescent="0.25">
      <c r="A6" s="22" t="s">
        <v>375</v>
      </c>
    </row>
    <row r="7" spans="1:5" x14ac:dyDescent="0.25">
      <c r="A7" s="23" t="s">
        <v>75</v>
      </c>
      <c r="B7" s="24">
        <v>122000</v>
      </c>
      <c r="C7" s="24">
        <v>124440</v>
      </c>
      <c r="D7" s="24">
        <v>126880</v>
      </c>
      <c r="E7" s="24">
        <v>373320</v>
      </c>
    </row>
    <row r="8" spans="1:5" x14ac:dyDescent="0.25">
      <c r="A8" s="23" t="s">
        <v>77</v>
      </c>
      <c r="B8" s="24">
        <v>115900</v>
      </c>
      <c r="C8" s="24">
        <v>118218</v>
      </c>
      <c r="D8" s="24">
        <v>120536</v>
      </c>
      <c r="E8" s="24">
        <v>354654</v>
      </c>
    </row>
    <row r="9" spans="1:5" x14ac:dyDescent="0.25">
      <c r="A9" s="23" t="s">
        <v>79</v>
      </c>
      <c r="B9" s="24">
        <v>97600</v>
      </c>
      <c r="C9" s="24">
        <v>99552</v>
      </c>
      <c r="D9" s="24">
        <v>101504</v>
      </c>
      <c r="E9" s="24">
        <v>298656</v>
      </c>
    </row>
    <row r="10" spans="1:5" x14ac:dyDescent="0.25">
      <c r="A10" s="23" t="s">
        <v>81</v>
      </c>
      <c r="B10" s="24">
        <v>103700</v>
      </c>
      <c r="C10" s="24">
        <v>105774</v>
      </c>
      <c r="D10" s="24">
        <v>107848</v>
      </c>
      <c r="E10" s="24">
        <v>317322</v>
      </c>
    </row>
    <row r="11" spans="1:5" x14ac:dyDescent="0.25">
      <c r="A11" s="23" t="s">
        <v>83</v>
      </c>
      <c r="B11" s="24">
        <v>134200</v>
      </c>
      <c r="C11" s="24">
        <v>136884</v>
      </c>
      <c r="D11" s="24">
        <v>139568</v>
      </c>
      <c r="E11" s="24">
        <v>410652</v>
      </c>
    </row>
    <row r="12" spans="1:5" x14ac:dyDescent="0.25">
      <c r="A12" s="23" t="s">
        <v>376</v>
      </c>
      <c r="B12" s="24">
        <v>573400</v>
      </c>
      <c r="C12" s="24">
        <v>584868</v>
      </c>
      <c r="D12" s="24">
        <v>596336</v>
      </c>
      <c r="E12" s="24">
        <v>1754604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7F6F7-FC2A-41E4-AEC6-391BF7E7BC4C}">
  <dimension ref="A1:E12"/>
  <sheetViews>
    <sheetView workbookViewId="0">
      <selection activeCell="A3" sqref="A3"/>
    </sheetView>
  </sheetViews>
  <sheetFormatPr defaultRowHeight="15" x14ac:dyDescent="0.25"/>
  <cols>
    <col min="1" max="1" width="41.28515625" bestFit="1" customWidth="1"/>
    <col min="2" max="2" width="16.28515625" bestFit="1" customWidth="1"/>
    <col min="3" max="3" width="9" bestFit="1" customWidth="1"/>
    <col min="4" max="4" width="10" bestFit="1" customWidth="1"/>
    <col min="5" max="5" width="11.28515625" bestFit="1" customWidth="1"/>
    <col min="6" max="33" width="10.42578125" bestFit="1" customWidth="1"/>
    <col min="34" max="34" width="11.28515625" bestFit="1" customWidth="1"/>
  </cols>
  <sheetData>
    <row r="1" spans="1:5" x14ac:dyDescent="0.25">
      <c r="A1" s="22" t="s">
        <v>28</v>
      </c>
      <c r="B1" t="s">
        <v>56</v>
      </c>
    </row>
    <row r="3" spans="1:5" x14ac:dyDescent="0.25">
      <c r="A3" s="22" t="s">
        <v>383</v>
      </c>
      <c r="B3" s="22" t="s">
        <v>381</v>
      </c>
    </row>
    <row r="4" spans="1:5" x14ac:dyDescent="0.25">
      <c r="B4" t="s">
        <v>378</v>
      </c>
      <c r="C4" t="s">
        <v>379</v>
      </c>
      <c r="D4" t="s">
        <v>380</v>
      </c>
      <c r="E4" t="s">
        <v>376</v>
      </c>
    </row>
    <row r="6" spans="1:5" x14ac:dyDescent="0.25">
      <c r="A6" s="22" t="s">
        <v>375</v>
      </c>
    </row>
    <row r="7" spans="1:5" x14ac:dyDescent="0.25">
      <c r="A7" s="23" t="s">
        <v>75</v>
      </c>
      <c r="B7" s="24">
        <v>36600</v>
      </c>
      <c r="C7" s="24">
        <v>37332</v>
      </c>
      <c r="D7" s="24">
        <v>38064</v>
      </c>
      <c r="E7" s="24">
        <v>111996</v>
      </c>
    </row>
    <row r="8" spans="1:5" x14ac:dyDescent="0.25">
      <c r="A8" s="23" t="s">
        <v>77</v>
      </c>
      <c r="B8" s="24">
        <v>34770</v>
      </c>
      <c r="C8" s="24">
        <v>35465.4</v>
      </c>
      <c r="D8" s="24">
        <v>36160.800000000003</v>
      </c>
      <c r="E8" s="24">
        <v>106396.2</v>
      </c>
    </row>
    <row r="9" spans="1:5" x14ac:dyDescent="0.25">
      <c r="A9" s="23" t="s">
        <v>79</v>
      </c>
      <c r="B9" s="24">
        <v>29280</v>
      </c>
      <c r="C9" s="24">
        <v>29865.599999999999</v>
      </c>
      <c r="D9" s="24">
        <v>30451.200000000001</v>
      </c>
      <c r="E9" s="24">
        <v>89596.800000000003</v>
      </c>
    </row>
    <row r="10" spans="1:5" x14ac:dyDescent="0.25">
      <c r="A10" s="23" t="s">
        <v>81</v>
      </c>
      <c r="B10" s="24">
        <v>31110</v>
      </c>
      <c r="C10" s="24">
        <v>31732.2</v>
      </c>
      <c r="D10" s="24">
        <v>45296.160000000003</v>
      </c>
      <c r="E10" s="24">
        <v>108138.36</v>
      </c>
    </row>
    <row r="11" spans="1:5" x14ac:dyDescent="0.25">
      <c r="A11" s="23" t="s">
        <v>83</v>
      </c>
      <c r="B11" s="24">
        <v>40260</v>
      </c>
      <c r="C11" s="24">
        <v>41065.199999999997</v>
      </c>
      <c r="D11" s="24">
        <v>41870.400000000001</v>
      </c>
      <c r="E11" s="24">
        <v>123195.6</v>
      </c>
    </row>
    <row r="12" spans="1:5" x14ac:dyDescent="0.25">
      <c r="A12" s="23" t="s">
        <v>376</v>
      </c>
      <c r="B12" s="24">
        <v>172020</v>
      </c>
      <c r="C12" s="24">
        <v>175460.40000000002</v>
      </c>
      <c r="D12" s="24">
        <v>191842.56</v>
      </c>
      <c r="E12" s="24">
        <v>539322.96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0A816-54AF-47C9-A9DB-D83B3857AACB}">
  <dimension ref="A1:M13"/>
  <sheetViews>
    <sheetView workbookViewId="0">
      <selection activeCell="J13" sqref="J13"/>
    </sheetView>
  </sheetViews>
  <sheetFormatPr defaultRowHeight="15" x14ac:dyDescent="0.25"/>
  <cols>
    <col min="1" max="1" width="41.28515625" bestFit="1" customWidth="1"/>
    <col min="2" max="2" width="17.85546875" bestFit="1" customWidth="1"/>
    <col min="3" max="3" width="12.42578125" bestFit="1" customWidth="1"/>
    <col min="4" max="4" width="20.85546875" bestFit="1" customWidth="1"/>
    <col min="5" max="5" width="13.140625" bestFit="1" customWidth="1"/>
    <col min="6" max="6" width="12.42578125" bestFit="1" customWidth="1"/>
    <col min="7" max="7" width="20.85546875" bestFit="1" customWidth="1"/>
    <col min="8" max="8" width="13.140625" bestFit="1" customWidth="1"/>
    <col min="9" max="9" width="12.42578125" bestFit="1" customWidth="1"/>
    <col min="10" max="10" width="20.85546875" bestFit="1" customWidth="1"/>
    <col min="11" max="11" width="18.140625" bestFit="1" customWidth="1"/>
    <col min="12" max="12" width="17.5703125" bestFit="1" customWidth="1"/>
    <col min="13" max="13" width="26" bestFit="1" customWidth="1"/>
    <col min="14" max="33" width="10.42578125" bestFit="1" customWidth="1"/>
    <col min="34" max="34" width="11.28515625" bestFit="1" customWidth="1"/>
  </cols>
  <sheetData>
    <row r="1" spans="1:13" x14ac:dyDescent="0.25">
      <c r="A1" s="22" t="s">
        <v>28</v>
      </c>
      <c r="B1" t="s">
        <v>382</v>
      </c>
    </row>
    <row r="3" spans="1:13" x14ac:dyDescent="0.25">
      <c r="B3" s="22" t="s">
        <v>381</v>
      </c>
    </row>
    <row r="4" spans="1:13" x14ac:dyDescent="0.25">
      <c r="B4" t="s">
        <v>378</v>
      </c>
      <c r="E4" t="s">
        <v>379</v>
      </c>
      <c r="H4" t="s">
        <v>380</v>
      </c>
      <c r="K4" t="s">
        <v>384</v>
      </c>
      <c r="L4" t="s">
        <v>385</v>
      </c>
      <c r="M4" t="s">
        <v>386</v>
      </c>
    </row>
    <row r="7" spans="1:13" x14ac:dyDescent="0.25">
      <c r="A7" s="22" t="s">
        <v>375</v>
      </c>
      <c r="B7" t="s">
        <v>377</v>
      </c>
      <c r="C7" t="s">
        <v>383</v>
      </c>
      <c r="D7" t="s">
        <v>387</v>
      </c>
      <c r="E7" t="s">
        <v>377</v>
      </c>
      <c r="F7" t="s">
        <v>383</v>
      </c>
      <c r="G7" t="s">
        <v>387</v>
      </c>
      <c r="H7" t="s">
        <v>377</v>
      </c>
      <c r="I7" t="s">
        <v>383</v>
      </c>
      <c r="J7" t="s">
        <v>387</v>
      </c>
    </row>
    <row r="8" spans="1:13" x14ac:dyDescent="0.25">
      <c r="A8" s="23" t="s">
        <v>75</v>
      </c>
      <c r="B8" s="24">
        <v>122000</v>
      </c>
      <c r="C8" s="24">
        <v>36600</v>
      </c>
      <c r="D8" s="25">
        <v>0.3</v>
      </c>
      <c r="E8" s="24">
        <v>124440</v>
      </c>
      <c r="F8" s="24">
        <v>37332</v>
      </c>
      <c r="G8" s="25">
        <v>0.3</v>
      </c>
      <c r="H8" s="24">
        <v>126880</v>
      </c>
      <c r="I8" s="24">
        <v>38064</v>
      </c>
      <c r="J8" s="25">
        <v>0.3</v>
      </c>
      <c r="K8" s="24">
        <v>373320</v>
      </c>
      <c r="L8" s="24">
        <v>111996</v>
      </c>
      <c r="M8" s="25">
        <v>0.3</v>
      </c>
    </row>
    <row r="9" spans="1:13" x14ac:dyDescent="0.25">
      <c r="A9" s="23" t="s">
        <v>77</v>
      </c>
      <c r="B9" s="24">
        <v>115900</v>
      </c>
      <c r="C9" s="24">
        <v>34770</v>
      </c>
      <c r="D9" s="25">
        <v>0.3</v>
      </c>
      <c r="E9" s="24">
        <v>118218</v>
      </c>
      <c r="F9" s="24">
        <v>35465.4</v>
      </c>
      <c r="G9" s="25">
        <v>0.3</v>
      </c>
      <c r="H9" s="24">
        <v>120536</v>
      </c>
      <c r="I9" s="24">
        <v>36160.800000000003</v>
      </c>
      <c r="J9" s="25">
        <v>0.30000000000000004</v>
      </c>
      <c r="K9" s="24">
        <v>354654</v>
      </c>
      <c r="L9" s="24">
        <v>106396.2</v>
      </c>
      <c r="M9" s="25">
        <v>0.3</v>
      </c>
    </row>
    <row r="10" spans="1:13" x14ac:dyDescent="0.25">
      <c r="A10" s="23" t="s">
        <v>79</v>
      </c>
      <c r="B10" s="24">
        <v>97600</v>
      </c>
      <c r="C10" s="24">
        <v>29280</v>
      </c>
      <c r="D10" s="25">
        <v>0.3</v>
      </c>
      <c r="E10" s="24">
        <v>99552</v>
      </c>
      <c r="F10" s="24">
        <v>29865.599999999999</v>
      </c>
      <c r="G10" s="25">
        <v>0.3</v>
      </c>
      <c r="H10" s="24">
        <v>101504</v>
      </c>
      <c r="I10" s="24">
        <v>30451.200000000001</v>
      </c>
      <c r="J10" s="25">
        <v>0.3</v>
      </c>
      <c r="K10" s="24">
        <v>298656</v>
      </c>
      <c r="L10" s="24">
        <v>89596.800000000003</v>
      </c>
      <c r="M10" s="25">
        <v>0.3</v>
      </c>
    </row>
    <row r="11" spans="1:13" x14ac:dyDescent="0.25">
      <c r="A11" s="23" t="s">
        <v>81</v>
      </c>
      <c r="B11" s="24">
        <v>103700</v>
      </c>
      <c r="C11" s="24">
        <v>31110</v>
      </c>
      <c r="D11" s="25">
        <v>0.3</v>
      </c>
      <c r="E11" s="24">
        <v>105774</v>
      </c>
      <c r="F11" s="24">
        <v>31732.2</v>
      </c>
      <c r="G11" s="25">
        <v>0.3</v>
      </c>
      <c r="H11" s="24">
        <v>107848</v>
      </c>
      <c r="I11" s="24">
        <v>45296.160000000003</v>
      </c>
      <c r="J11" s="25">
        <v>0.42000000000000004</v>
      </c>
      <c r="K11" s="24">
        <v>317322</v>
      </c>
      <c r="L11" s="24">
        <v>108138.36</v>
      </c>
      <c r="M11" s="25">
        <v>0.34078431372549017</v>
      </c>
    </row>
    <row r="12" spans="1:13" x14ac:dyDescent="0.25">
      <c r="A12" s="23" t="s">
        <v>83</v>
      </c>
      <c r="B12" s="24">
        <v>134200</v>
      </c>
      <c r="C12" s="24">
        <v>40260</v>
      </c>
      <c r="D12" s="25">
        <v>0.3</v>
      </c>
      <c r="E12" s="24">
        <v>136884</v>
      </c>
      <c r="F12" s="24">
        <v>41065.199999999997</v>
      </c>
      <c r="G12" s="25">
        <v>0.3</v>
      </c>
      <c r="H12" s="24">
        <v>139568</v>
      </c>
      <c r="I12" s="24">
        <v>41870.400000000001</v>
      </c>
      <c r="J12" s="25">
        <v>0.3</v>
      </c>
      <c r="K12" s="24">
        <v>410652</v>
      </c>
      <c r="L12" s="24">
        <v>123195.6</v>
      </c>
      <c r="M12" s="25">
        <v>0.3</v>
      </c>
    </row>
    <row r="13" spans="1:13" x14ac:dyDescent="0.25">
      <c r="A13" s="23" t="s">
        <v>376</v>
      </c>
      <c r="B13" s="24">
        <v>573400</v>
      </c>
      <c r="C13" s="24">
        <v>172020</v>
      </c>
      <c r="D13" s="25">
        <v>0.3</v>
      </c>
      <c r="E13" s="24">
        <v>584868</v>
      </c>
      <c r="F13" s="24">
        <v>175460.40000000002</v>
      </c>
      <c r="G13" s="25">
        <v>0.30000000000000004</v>
      </c>
      <c r="H13" s="24">
        <v>596336</v>
      </c>
      <c r="I13" s="24">
        <v>191842.56</v>
      </c>
      <c r="J13" s="25">
        <v>0.32170212765957445</v>
      </c>
      <c r="K13" s="24">
        <v>1754604</v>
      </c>
      <c r="L13" s="24">
        <v>539322.96</v>
      </c>
      <c r="M13" s="25">
        <v>0.30737588652482267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11"/>
  <sheetViews>
    <sheetView topLeftCell="F1" zoomScaleNormal="100" workbookViewId="0">
      <pane ySplit="1" topLeftCell="A391" activePane="bottomLeft" state="frozen"/>
      <selection pane="bottomLeft" sqref="A1:P411"/>
    </sheetView>
  </sheetViews>
  <sheetFormatPr defaultColWidth="8.7109375" defaultRowHeight="15" x14ac:dyDescent="0.25"/>
  <cols>
    <col min="1" max="1" width="8" customWidth="1"/>
    <col min="2" max="2" width="14" customWidth="1"/>
    <col min="3" max="3" width="12" customWidth="1"/>
    <col min="4" max="4" width="13" customWidth="1"/>
    <col min="5" max="5" width="34" customWidth="1"/>
    <col min="6" max="6" width="11" customWidth="1"/>
    <col min="7" max="7" width="22" customWidth="1"/>
    <col min="8" max="10" width="12" customWidth="1"/>
    <col min="11" max="11" width="34" customWidth="1"/>
    <col min="12" max="12" width="22" customWidth="1"/>
    <col min="13" max="14" width="11" customWidth="1"/>
    <col min="15" max="15" width="30" customWidth="1"/>
    <col min="16" max="16" width="16" customWidth="1"/>
  </cols>
  <sheetData>
    <row r="1" spans="1:16" ht="25.5" x14ac:dyDescent="0.25">
      <c r="A1" s="5" t="s">
        <v>104</v>
      </c>
      <c r="B1" s="5" t="s">
        <v>105</v>
      </c>
      <c r="C1" s="5" t="s">
        <v>106</v>
      </c>
      <c r="D1" s="5" t="s">
        <v>72</v>
      </c>
      <c r="E1" s="5" t="s">
        <v>73</v>
      </c>
      <c r="F1" s="5" t="s">
        <v>27</v>
      </c>
      <c r="G1" s="5" t="s">
        <v>28</v>
      </c>
      <c r="H1" s="5" t="s">
        <v>29</v>
      </c>
      <c r="I1" s="5" t="s">
        <v>34</v>
      </c>
      <c r="J1" s="5" t="s">
        <v>44</v>
      </c>
      <c r="K1" s="5" t="s">
        <v>107</v>
      </c>
      <c r="L1" s="5" t="s">
        <v>108</v>
      </c>
      <c r="M1" s="5" t="s">
        <v>109</v>
      </c>
      <c r="N1" s="5" t="s">
        <v>84</v>
      </c>
      <c r="O1" s="5" t="s">
        <v>85</v>
      </c>
      <c r="P1" s="5" t="s">
        <v>110</v>
      </c>
    </row>
    <row r="2" spans="1:16" x14ac:dyDescent="0.25">
      <c r="A2" s="7">
        <v>1</v>
      </c>
      <c r="B2" s="7" t="s">
        <v>111</v>
      </c>
      <c r="C2" s="8">
        <v>46024</v>
      </c>
      <c r="D2" s="7" t="s">
        <v>74</v>
      </c>
      <c r="E2" s="7" t="str">
        <f>IFERROR(INDEX(Restaurants!$B$2:$B$6,MATCH(D2,Restaurants!$A$2:$A$6,0)),"")</f>
        <v>Trailhead Burger Co. #101 - San Antonio, TX</v>
      </c>
      <c r="F2" s="7" t="s">
        <v>31</v>
      </c>
      <c r="G2" s="7" t="str">
        <f>IFERROR(INDEX(Chart_of_Accounts!$B$2:$B$18,MATCH(F2,Chart_of_Accounts!$A$2:$A$18,0)),"")</f>
        <v>Cash</v>
      </c>
      <c r="H2" s="7" t="str">
        <f>IFERROR(INDEX(Chart_of_Accounts!$C$2:$C$18,MATCH(F2,Chart_of_Accounts!$A$2:$A$18,0)),"")</f>
        <v>Asset</v>
      </c>
      <c r="I2" s="9">
        <v>60000</v>
      </c>
      <c r="J2" s="9"/>
      <c r="K2" s="7" t="s">
        <v>112</v>
      </c>
      <c r="L2" s="7" t="s">
        <v>113</v>
      </c>
      <c r="M2" s="7" t="s">
        <v>114</v>
      </c>
      <c r="N2" s="7"/>
      <c r="O2" s="7"/>
      <c r="P2" s="7" t="s">
        <v>115</v>
      </c>
    </row>
    <row r="3" spans="1:16" x14ac:dyDescent="0.25">
      <c r="A3" s="7">
        <v>1</v>
      </c>
      <c r="B3" s="7" t="s">
        <v>111</v>
      </c>
      <c r="C3" s="8">
        <v>46024</v>
      </c>
      <c r="D3" s="7" t="s">
        <v>74</v>
      </c>
      <c r="E3" s="7" t="str">
        <f>IFERROR(INDEX(Restaurants!$B$2:$B$6,MATCH(D3,Restaurants!$A$2:$A$6,0)),"")</f>
        <v>Trailhead Burger Co. #101 - San Antonio, TX</v>
      </c>
      <c r="F3" s="7" t="s">
        <v>47</v>
      </c>
      <c r="G3" s="7" t="str">
        <f>IFERROR(INDEX(Chart_of_Accounts!$B$2:$B$18,MATCH(F3,Chart_of_Accounts!$A$2:$A$18,0)),"")</f>
        <v>Owner's Equity</v>
      </c>
      <c r="H3" s="7" t="str">
        <f>IFERROR(INDEX(Chart_of_Accounts!$C$2:$C$18,MATCH(F3,Chart_of_Accounts!$A$2:$A$18,0)),"")</f>
        <v>Equity</v>
      </c>
      <c r="I3" s="9"/>
      <c r="J3" s="9">
        <v>60000</v>
      </c>
      <c r="K3" s="7" t="s">
        <v>112</v>
      </c>
      <c r="L3" s="7" t="s">
        <v>113</v>
      </c>
      <c r="M3" s="7" t="s">
        <v>114</v>
      </c>
      <c r="N3" s="7"/>
      <c r="O3" s="7"/>
      <c r="P3" s="7" t="s">
        <v>115</v>
      </c>
    </row>
    <row r="4" spans="1:16" x14ac:dyDescent="0.25">
      <c r="A4" s="7">
        <v>2</v>
      </c>
      <c r="B4" s="7" t="s">
        <v>116</v>
      </c>
      <c r="C4" s="8">
        <v>46024</v>
      </c>
      <c r="D4" s="7" t="s">
        <v>74</v>
      </c>
      <c r="E4" s="7" t="str">
        <f>IFERROR(INDEX(Restaurants!$B$2:$B$6,MATCH(D4,Restaurants!$A$2:$A$6,0)),"")</f>
        <v>Trailhead Burger Co. #101 - San Antonio, TX</v>
      </c>
      <c r="F4" s="7" t="s">
        <v>31</v>
      </c>
      <c r="G4" s="7" t="str">
        <f>IFERROR(INDEX(Chart_of_Accounts!$B$2:$B$18,MATCH(F4,Chart_of_Accounts!$A$2:$A$18,0)),"")</f>
        <v>Cash</v>
      </c>
      <c r="H4" s="7" t="str">
        <f>IFERROR(INDEX(Chart_of_Accounts!$C$2:$C$18,MATCH(F4,Chart_of_Accounts!$A$2:$A$18,0)),"")</f>
        <v>Asset</v>
      </c>
      <c r="I4" s="9">
        <v>40000</v>
      </c>
      <c r="J4" s="9"/>
      <c r="K4" s="7" t="s">
        <v>117</v>
      </c>
      <c r="L4" s="7" t="s">
        <v>113</v>
      </c>
      <c r="M4" s="7" t="s">
        <v>114</v>
      </c>
      <c r="N4" s="7"/>
      <c r="O4" s="7"/>
      <c r="P4" s="7" t="s">
        <v>115</v>
      </c>
    </row>
    <row r="5" spans="1:16" x14ac:dyDescent="0.25">
      <c r="A5" s="7">
        <v>2</v>
      </c>
      <c r="B5" s="7" t="s">
        <v>116</v>
      </c>
      <c r="C5" s="8">
        <v>46024</v>
      </c>
      <c r="D5" s="7" t="s">
        <v>74</v>
      </c>
      <c r="E5" s="7" t="str">
        <f>IFERROR(INDEX(Restaurants!$B$2:$B$6,MATCH(D5,Restaurants!$A$2:$A$6,0)),"")</f>
        <v>Trailhead Burger Co. #101 - San Antonio, TX</v>
      </c>
      <c r="F5" s="7" t="s">
        <v>45</v>
      </c>
      <c r="G5" s="7" t="str">
        <f>IFERROR(INDEX(Chart_of_Accounts!$B$2:$B$18,MATCH(F5,Chart_of_Accounts!$A$2:$A$18,0)),"")</f>
        <v>Loan Payable</v>
      </c>
      <c r="H5" s="7" t="str">
        <f>IFERROR(INDEX(Chart_of_Accounts!$C$2:$C$18,MATCH(F5,Chart_of_Accounts!$A$2:$A$18,0)),"")</f>
        <v>Liability</v>
      </c>
      <c r="I5" s="9"/>
      <c r="J5" s="9">
        <v>40000</v>
      </c>
      <c r="K5" s="7" t="s">
        <v>117</v>
      </c>
      <c r="L5" s="7" t="s">
        <v>113</v>
      </c>
      <c r="M5" s="7" t="s">
        <v>114</v>
      </c>
      <c r="N5" s="7"/>
      <c r="O5" s="7"/>
      <c r="P5" s="7" t="s">
        <v>115</v>
      </c>
    </row>
    <row r="6" spans="1:16" x14ac:dyDescent="0.25">
      <c r="A6" s="7">
        <v>3</v>
      </c>
      <c r="B6" s="7" t="s">
        <v>118</v>
      </c>
      <c r="C6" s="8">
        <v>46024</v>
      </c>
      <c r="D6" s="7" t="s">
        <v>74</v>
      </c>
      <c r="E6" s="7" t="str">
        <f>IFERROR(INDEX(Restaurants!$B$2:$B$6,MATCH(D6,Restaurants!$A$2:$A$6,0)),"")</f>
        <v>Trailhead Burger Co. #101 - San Antonio, TX</v>
      </c>
      <c r="F6" s="7" t="s">
        <v>39</v>
      </c>
      <c r="G6" s="7" t="str">
        <f>IFERROR(INDEX(Chart_of_Accounts!$B$2:$B$18,MATCH(F6,Chart_of_Accounts!$A$2:$A$18,0)),"")</f>
        <v>Equipment</v>
      </c>
      <c r="H6" s="7" t="str">
        <f>IFERROR(INDEX(Chart_of_Accounts!$C$2:$C$18,MATCH(F6,Chart_of_Accounts!$A$2:$A$18,0)),"")</f>
        <v>Asset</v>
      </c>
      <c r="I6" s="9">
        <v>95000</v>
      </c>
      <c r="J6" s="9"/>
      <c r="K6" s="7" t="s">
        <v>119</v>
      </c>
      <c r="L6" s="7" t="s">
        <v>113</v>
      </c>
      <c r="M6" s="7" t="s">
        <v>114</v>
      </c>
      <c r="N6" s="7" t="s">
        <v>102</v>
      </c>
      <c r="O6" s="7" t="str">
        <f>IFERROR(INDEX(Vendors!$B$2:$B$10,MATCH(N6,Vendors!$A$2:$A$10,0)),"")</f>
        <v>Trailhead Burger Co. - Corporate</v>
      </c>
      <c r="P6" s="7" t="s">
        <v>120</v>
      </c>
    </row>
    <row r="7" spans="1:16" x14ac:dyDescent="0.25">
      <c r="A7" s="7">
        <v>3</v>
      </c>
      <c r="B7" s="7" t="s">
        <v>118</v>
      </c>
      <c r="C7" s="8">
        <v>46024</v>
      </c>
      <c r="D7" s="7" t="s">
        <v>74</v>
      </c>
      <c r="E7" s="7" t="str">
        <f>IFERROR(INDEX(Restaurants!$B$2:$B$6,MATCH(D7,Restaurants!$A$2:$A$6,0)),"")</f>
        <v>Trailhead Burger Co. #101 - San Antonio, TX</v>
      </c>
      <c r="F7" s="7" t="s">
        <v>31</v>
      </c>
      <c r="G7" s="7" t="str">
        <f>IFERROR(INDEX(Chart_of_Accounts!$B$2:$B$18,MATCH(F7,Chart_of_Accounts!$A$2:$A$18,0)),"")</f>
        <v>Cash</v>
      </c>
      <c r="H7" s="7" t="str">
        <f>IFERROR(INDEX(Chart_of_Accounts!$C$2:$C$18,MATCH(F7,Chart_of_Accounts!$A$2:$A$18,0)),"")</f>
        <v>Asset</v>
      </c>
      <c r="I7" s="9"/>
      <c r="J7" s="9">
        <v>95000</v>
      </c>
      <c r="K7" s="7" t="s">
        <v>119</v>
      </c>
      <c r="L7" s="7" t="s">
        <v>113</v>
      </c>
      <c r="M7" s="7" t="s">
        <v>114</v>
      </c>
      <c r="N7" s="7" t="s">
        <v>102</v>
      </c>
      <c r="O7" s="7" t="str">
        <f>IFERROR(INDEX(Vendors!$B$2:$B$10,MATCH(N7,Vendors!$A$2:$A$10,0)),"")</f>
        <v>Trailhead Burger Co. - Corporate</v>
      </c>
      <c r="P7" s="7" t="s">
        <v>120</v>
      </c>
    </row>
    <row r="8" spans="1:16" x14ac:dyDescent="0.25">
      <c r="A8" s="7">
        <v>4</v>
      </c>
      <c r="B8" s="7" t="s">
        <v>121</v>
      </c>
      <c r="C8" s="8">
        <v>46024</v>
      </c>
      <c r="D8" s="7" t="s">
        <v>76</v>
      </c>
      <c r="E8" s="7" t="str">
        <f>IFERROR(INDEX(Restaurants!$B$2:$B$6,MATCH(D8,Restaurants!$A$2:$A$6,0)),"")</f>
        <v>Trailhead Burger Co. #102 - Austin, TX</v>
      </c>
      <c r="F8" s="7" t="s">
        <v>31</v>
      </c>
      <c r="G8" s="7" t="str">
        <f>IFERROR(INDEX(Chart_of_Accounts!$B$2:$B$18,MATCH(F8,Chart_of_Accounts!$A$2:$A$18,0)),"")</f>
        <v>Cash</v>
      </c>
      <c r="H8" s="7" t="str">
        <f>IFERROR(INDEX(Chart_of_Accounts!$C$2:$C$18,MATCH(F8,Chart_of_Accounts!$A$2:$A$18,0)),"")</f>
        <v>Asset</v>
      </c>
      <c r="I8" s="9">
        <v>60000</v>
      </c>
      <c r="J8" s="9"/>
      <c r="K8" s="7" t="s">
        <v>112</v>
      </c>
      <c r="L8" s="7" t="s">
        <v>113</v>
      </c>
      <c r="M8" s="7" t="s">
        <v>114</v>
      </c>
      <c r="N8" s="7"/>
      <c r="O8" s="7"/>
      <c r="P8" s="7" t="s">
        <v>115</v>
      </c>
    </row>
    <row r="9" spans="1:16" x14ac:dyDescent="0.25">
      <c r="A9" s="7">
        <v>4</v>
      </c>
      <c r="B9" s="7" t="s">
        <v>121</v>
      </c>
      <c r="C9" s="8">
        <v>46024</v>
      </c>
      <c r="D9" s="7" t="s">
        <v>76</v>
      </c>
      <c r="E9" s="7" t="str">
        <f>IFERROR(INDEX(Restaurants!$B$2:$B$6,MATCH(D9,Restaurants!$A$2:$A$6,0)),"")</f>
        <v>Trailhead Burger Co. #102 - Austin, TX</v>
      </c>
      <c r="F9" s="7" t="s">
        <v>47</v>
      </c>
      <c r="G9" s="7" t="str">
        <f>IFERROR(INDEX(Chart_of_Accounts!$B$2:$B$18,MATCH(F9,Chart_of_Accounts!$A$2:$A$18,0)),"")</f>
        <v>Owner's Equity</v>
      </c>
      <c r="H9" s="7" t="str">
        <f>IFERROR(INDEX(Chart_of_Accounts!$C$2:$C$18,MATCH(F9,Chart_of_Accounts!$A$2:$A$18,0)),"")</f>
        <v>Equity</v>
      </c>
      <c r="I9" s="9"/>
      <c r="J9" s="9">
        <v>60000</v>
      </c>
      <c r="K9" s="7" t="s">
        <v>112</v>
      </c>
      <c r="L9" s="7" t="s">
        <v>113</v>
      </c>
      <c r="M9" s="7" t="s">
        <v>114</v>
      </c>
      <c r="N9" s="7"/>
      <c r="O9" s="7"/>
      <c r="P9" s="7" t="s">
        <v>115</v>
      </c>
    </row>
    <row r="10" spans="1:16" x14ac:dyDescent="0.25">
      <c r="A10" s="7">
        <v>5</v>
      </c>
      <c r="B10" s="7" t="s">
        <v>122</v>
      </c>
      <c r="C10" s="8">
        <v>46024</v>
      </c>
      <c r="D10" s="7" t="s">
        <v>76</v>
      </c>
      <c r="E10" s="7" t="str">
        <f>IFERROR(INDEX(Restaurants!$B$2:$B$6,MATCH(D10,Restaurants!$A$2:$A$6,0)),"")</f>
        <v>Trailhead Burger Co. #102 - Austin, TX</v>
      </c>
      <c r="F10" s="7" t="s">
        <v>31</v>
      </c>
      <c r="G10" s="7" t="str">
        <f>IFERROR(INDEX(Chart_of_Accounts!$B$2:$B$18,MATCH(F10,Chart_of_Accounts!$A$2:$A$18,0)),"")</f>
        <v>Cash</v>
      </c>
      <c r="H10" s="7" t="str">
        <f>IFERROR(INDEX(Chart_of_Accounts!$C$2:$C$18,MATCH(F10,Chart_of_Accounts!$A$2:$A$18,0)),"")</f>
        <v>Asset</v>
      </c>
      <c r="I10" s="9">
        <v>40000</v>
      </c>
      <c r="J10" s="9"/>
      <c r="K10" s="7" t="s">
        <v>117</v>
      </c>
      <c r="L10" s="7" t="s">
        <v>113</v>
      </c>
      <c r="M10" s="7" t="s">
        <v>114</v>
      </c>
      <c r="N10" s="7"/>
      <c r="O10" s="7"/>
      <c r="P10" s="7" t="s">
        <v>115</v>
      </c>
    </row>
    <row r="11" spans="1:16" x14ac:dyDescent="0.25">
      <c r="A11" s="7">
        <v>5</v>
      </c>
      <c r="B11" s="7" t="s">
        <v>122</v>
      </c>
      <c r="C11" s="8">
        <v>46024</v>
      </c>
      <c r="D11" s="7" t="s">
        <v>76</v>
      </c>
      <c r="E11" s="7" t="str">
        <f>IFERROR(INDEX(Restaurants!$B$2:$B$6,MATCH(D11,Restaurants!$A$2:$A$6,0)),"")</f>
        <v>Trailhead Burger Co. #102 - Austin, TX</v>
      </c>
      <c r="F11" s="7" t="s">
        <v>45</v>
      </c>
      <c r="G11" s="7" t="str">
        <f>IFERROR(INDEX(Chart_of_Accounts!$B$2:$B$18,MATCH(F11,Chart_of_Accounts!$A$2:$A$18,0)),"")</f>
        <v>Loan Payable</v>
      </c>
      <c r="H11" s="7" t="str">
        <f>IFERROR(INDEX(Chart_of_Accounts!$C$2:$C$18,MATCH(F11,Chart_of_Accounts!$A$2:$A$18,0)),"")</f>
        <v>Liability</v>
      </c>
      <c r="I11" s="9"/>
      <c r="J11" s="9">
        <v>40000</v>
      </c>
      <c r="K11" s="7" t="s">
        <v>117</v>
      </c>
      <c r="L11" s="7" t="s">
        <v>113</v>
      </c>
      <c r="M11" s="7" t="s">
        <v>114</v>
      </c>
      <c r="N11" s="7"/>
      <c r="O11" s="7"/>
      <c r="P11" s="7" t="s">
        <v>115</v>
      </c>
    </row>
    <row r="12" spans="1:16" x14ac:dyDescent="0.25">
      <c r="A12" s="7">
        <v>6</v>
      </c>
      <c r="B12" s="7" t="s">
        <v>123</v>
      </c>
      <c r="C12" s="8">
        <v>46024</v>
      </c>
      <c r="D12" s="7" t="s">
        <v>76</v>
      </c>
      <c r="E12" s="7" t="str">
        <f>IFERROR(INDEX(Restaurants!$B$2:$B$6,MATCH(D12,Restaurants!$A$2:$A$6,0)),"")</f>
        <v>Trailhead Burger Co. #102 - Austin, TX</v>
      </c>
      <c r="F12" s="7" t="s">
        <v>39</v>
      </c>
      <c r="G12" s="7" t="str">
        <f>IFERROR(INDEX(Chart_of_Accounts!$B$2:$B$18,MATCH(F12,Chart_of_Accounts!$A$2:$A$18,0)),"")</f>
        <v>Equipment</v>
      </c>
      <c r="H12" s="7" t="str">
        <f>IFERROR(INDEX(Chart_of_Accounts!$C$2:$C$18,MATCH(F12,Chart_of_Accounts!$A$2:$A$18,0)),"")</f>
        <v>Asset</v>
      </c>
      <c r="I12" s="9">
        <v>95000</v>
      </c>
      <c r="J12" s="9"/>
      <c r="K12" s="7" t="s">
        <v>119</v>
      </c>
      <c r="L12" s="7" t="s">
        <v>113</v>
      </c>
      <c r="M12" s="7" t="s">
        <v>114</v>
      </c>
      <c r="N12" s="7" t="s">
        <v>102</v>
      </c>
      <c r="O12" s="7" t="str">
        <f>IFERROR(INDEX(Vendors!$B$2:$B$10,MATCH(N12,Vendors!$A$2:$A$10,0)),"")</f>
        <v>Trailhead Burger Co. - Corporate</v>
      </c>
      <c r="P12" s="7" t="s">
        <v>120</v>
      </c>
    </row>
    <row r="13" spans="1:16" x14ac:dyDescent="0.25">
      <c r="A13" s="7">
        <v>6</v>
      </c>
      <c r="B13" s="7" t="s">
        <v>123</v>
      </c>
      <c r="C13" s="8">
        <v>46024</v>
      </c>
      <c r="D13" s="7" t="s">
        <v>76</v>
      </c>
      <c r="E13" s="7" t="str">
        <f>IFERROR(INDEX(Restaurants!$B$2:$B$6,MATCH(D13,Restaurants!$A$2:$A$6,0)),"")</f>
        <v>Trailhead Burger Co. #102 - Austin, TX</v>
      </c>
      <c r="F13" s="7" t="s">
        <v>31</v>
      </c>
      <c r="G13" s="7" t="str">
        <f>IFERROR(INDEX(Chart_of_Accounts!$B$2:$B$18,MATCH(F13,Chart_of_Accounts!$A$2:$A$18,0)),"")</f>
        <v>Cash</v>
      </c>
      <c r="H13" s="7" t="str">
        <f>IFERROR(INDEX(Chart_of_Accounts!$C$2:$C$18,MATCH(F13,Chart_of_Accounts!$A$2:$A$18,0)),"")</f>
        <v>Asset</v>
      </c>
      <c r="I13" s="9"/>
      <c r="J13" s="9">
        <v>95000</v>
      </c>
      <c r="K13" s="7" t="s">
        <v>119</v>
      </c>
      <c r="L13" s="7" t="s">
        <v>113</v>
      </c>
      <c r="M13" s="7" t="s">
        <v>114</v>
      </c>
      <c r="N13" s="7" t="s">
        <v>102</v>
      </c>
      <c r="O13" s="7" t="str">
        <f>IFERROR(INDEX(Vendors!$B$2:$B$10,MATCH(N13,Vendors!$A$2:$A$10,0)),"")</f>
        <v>Trailhead Burger Co. - Corporate</v>
      </c>
      <c r="P13" s="7" t="s">
        <v>120</v>
      </c>
    </row>
    <row r="14" spans="1:16" x14ac:dyDescent="0.25">
      <c r="A14" s="7">
        <v>7</v>
      </c>
      <c r="B14" s="7" t="s">
        <v>124</v>
      </c>
      <c r="C14" s="8">
        <v>46024</v>
      </c>
      <c r="D14" s="7" t="s">
        <v>78</v>
      </c>
      <c r="E14" s="7" t="str">
        <f>IFERROR(INDEX(Restaurants!$B$2:$B$6,MATCH(D14,Restaurants!$A$2:$A$6,0)),"")</f>
        <v>Trailhead Burger Co. #103 - Corpus Christi, TX</v>
      </c>
      <c r="F14" s="7" t="s">
        <v>31</v>
      </c>
      <c r="G14" s="7" t="str">
        <f>IFERROR(INDEX(Chart_of_Accounts!$B$2:$B$18,MATCH(F14,Chart_of_Accounts!$A$2:$A$18,0)),"")</f>
        <v>Cash</v>
      </c>
      <c r="H14" s="7" t="str">
        <f>IFERROR(INDEX(Chart_of_Accounts!$C$2:$C$18,MATCH(F14,Chart_of_Accounts!$A$2:$A$18,0)),"")</f>
        <v>Asset</v>
      </c>
      <c r="I14" s="9">
        <v>60000</v>
      </c>
      <c r="J14" s="9"/>
      <c r="K14" s="7" t="s">
        <v>112</v>
      </c>
      <c r="L14" s="7" t="s">
        <v>113</v>
      </c>
      <c r="M14" s="7" t="s">
        <v>114</v>
      </c>
      <c r="N14" s="7"/>
      <c r="O14" s="7"/>
      <c r="P14" s="7" t="s">
        <v>115</v>
      </c>
    </row>
    <row r="15" spans="1:16" x14ac:dyDescent="0.25">
      <c r="A15" s="7">
        <v>7</v>
      </c>
      <c r="B15" s="7" t="s">
        <v>124</v>
      </c>
      <c r="C15" s="8">
        <v>46024</v>
      </c>
      <c r="D15" s="7" t="s">
        <v>78</v>
      </c>
      <c r="E15" s="7" t="str">
        <f>IFERROR(INDEX(Restaurants!$B$2:$B$6,MATCH(D15,Restaurants!$A$2:$A$6,0)),"")</f>
        <v>Trailhead Burger Co. #103 - Corpus Christi, TX</v>
      </c>
      <c r="F15" s="7" t="s">
        <v>47</v>
      </c>
      <c r="G15" s="7" t="str">
        <f>IFERROR(INDEX(Chart_of_Accounts!$B$2:$B$18,MATCH(F15,Chart_of_Accounts!$A$2:$A$18,0)),"")</f>
        <v>Owner's Equity</v>
      </c>
      <c r="H15" s="7" t="str">
        <f>IFERROR(INDEX(Chart_of_Accounts!$C$2:$C$18,MATCH(F15,Chart_of_Accounts!$A$2:$A$18,0)),"")</f>
        <v>Equity</v>
      </c>
      <c r="I15" s="9"/>
      <c r="J15" s="9">
        <v>60000</v>
      </c>
      <c r="K15" s="7" t="s">
        <v>112</v>
      </c>
      <c r="L15" s="7" t="s">
        <v>113</v>
      </c>
      <c r="M15" s="7" t="s">
        <v>114</v>
      </c>
      <c r="N15" s="7"/>
      <c r="O15" s="7"/>
      <c r="P15" s="7" t="s">
        <v>115</v>
      </c>
    </row>
    <row r="16" spans="1:16" x14ac:dyDescent="0.25">
      <c r="A16" s="7">
        <v>8</v>
      </c>
      <c r="B16" s="7" t="s">
        <v>125</v>
      </c>
      <c r="C16" s="8">
        <v>46024</v>
      </c>
      <c r="D16" s="7" t="s">
        <v>78</v>
      </c>
      <c r="E16" s="7" t="str">
        <f>IFERROR(INDEX(Restaurants!$B$2:$B$6,MATCH(D16,Restaurants!$A$2:$A$6,0)),"")</f>
        <v>Trailhead Burger Co. #103 - Corpus Christi, TX</v>
      </c>
      <c r="F16" s="7" t="s">
        <v>31</v>
      </c>
      <c r="G16" s="7" t="str">
        <f>IFERROR(INDEX(Chart_of_Accounts!$B$2:$B$18,MATCH(F16,Chart_of_Accounts!$A$2:$A$18,0)),"")</f>
        <v>Cash</v>
      </c>
      <c r="H16" s="7" t="str">
        <f>IFERROR(INDEX(Chart_of_Accounts!$C$2:$C$18,MATCH(F16,Chart_of_Accounts!$A$2:$A$18,0)),"")</f>
        <v>Asset</v>
      </c>
      <c r="I16" s="9">
        <v>40000</v>
      </c>
      <c r="J16" s="9"/>
      <c r="K16" s="7" t="s">
        <v>117</v>
      </c>
      <c r="L16" s="7" t="s">
        <v>113</v>
      </c>
      <c r="M16" s="7" t="s">
        <v>114</v>
      </c>
      <c r="N16" s="7"/>
      <c r="O16" s="7"/>
      <c r="P16" s="7" t="s">
        <v>115</v>
      </c>
    </row>
    <row r="17" spans="1:16" x14ac:dyDescent="0.25">
      <c r="A17" s="7">
        <v>8</v>
      </c>
      <c r="B17" s="7" t="s">
        <v>125</v>
      </c>
      <c r="C17" s="8">
        <v>46024</v>
      </c>
      <c r="D17" s="7" t="s">
        <v>78</v>
      </c>
      <c r="E17" s="7" t="str">
        <f>IFERROR(INDEX(Restaurants!$B$2:$B$6,MATCH(D17,Restaurants!$A$2:$A$6,0)),"")</f>
        <v>Trailhead Burger Co. #103 - Corpus Christi, TX</v>
      </c>
      <c r="F17" s="7" t="s">
        <v>45</v>
      </c>
      <c r="G17" s="7" t="str">
        <f>IFERROR(INDEX(Chart_of_Accounts!$B$2:$B$18,MATCH(F17,Chart_of_Accounts!$A$2:$A$18,0)),"")</f>
        <v>Loan Payable</v>
      </c>
      <c r="H17" s="7" t="str">
        <f>IFERROR(INDEX(Chart_of_Accounts!$C$2:$C$18,MATCH(F17,Chart_of_Accounts!$A$2:$A$18,0)),"")</f>
        <v>Liability</v>
      </c>
      <c r="I17" s="9"/>
      <c r="J17" s="9">
        <v>40000</v>
      </c>
      <c r="K17" s="7" t="s">
        <v>117</v>
      </c>
      <c r="L17" s="7" t="s">
        <v>113</v>
      </c>
      <c r="M17" s="7" t="s">
        <v>114</v>
      </c>
      <c r="N17" s="7"/>
      <c r="O17" s="7"/>
      <c r="P17" s="7" t="s">
        <v>115</v>
      </c>
    </row>
    <row r="18" spans="1:16" x14ac:dyDescent="0.25">
      <c r="A18" s="7">
        <v>9</v>
      </c>
      <c r="B18" s="7" t="s">
        <v>126</v>
      </c>
      <c r="C18" s="8">
        <v>46024</v>
      </c>
      <c r="D18" s="7" t="s">
        <v>78</v>
      </c>
      <c r="E18" s="7" t="str">
        <f>IFERROR(INDEX(Restaurants!$B$2:$B$6,MATCH(D18,Restaurants!$A$2:$A$6,0)),"")</f>
        <v>Trailhead Burger Co. #103 - Corpus Christi, TX</v>
      </c>
      <c r="F18" s="7" t="s">
        <v>39</v>
      </c>
      <c r="G18" s="7" t="str">
        <f>IFERROR(INDEX(Chart_of_Accounts!$B$2:$B$18,MATCH(F18,Chart_of_Accounts!$A$2:$A$18,0)),"")</f>
        <v>Equipment</v>
      </c>
      <c r="H18" s="7" t="str">
        <f>IFERROR(INDEX(Chart_of_Accounts!$C$2:$C$18,MATCH(F18,Chart_of_Accounts!$A$2:$A$18,0)),"")</f>
        <v>Asset</v>
      </c>
      <c r="I18" s="9">
        <v>95000</v>
      </c>
      <c r="J18" s="9"/>
      <c r="K18" s="7" t="s">
        <v>119</v>
      </c>
      <c r="L18" s="7" t="s">
        <v>113</v>
      </c>
      <c r="M18" s="7" t="s">
        <v>114</v>
      </c>
      <c r="N18" s="7" t="s">
        <v>102</v>
      </c>
      <c r="O18" s="7" t="str">
        <f>IFERROR(INDEX(Vendors!$B$2:$B$10,MATCH(N18,Vendors!$A$2:$A$10,0)),"")</f>
        <v>Trailhead Burger Co. - Corporate</v>
      </c>
      <c r="P18" s="7" t="s">
        <v>120</v>
      </c>
    </row>
    <row r="19" spans="1:16" x14ac:dyDescent="0.25">
      <c r="A19" s="7">
        <v>9</v>
      </c>
      <c r="B19" s="7" t="s">
        <v>126</v>
      </c>
      <c r="C19" s="8">
        <v>46024</v>
      </c>
      <c r="D19" s="7" t="s">
        <v>78</v>
      </c>
      <c r="E19" s="7" t="str">
        <f>IFERROR(INDEX(Restaurants!$B$2:$B$6,MATCH(D19,Restaurants!$A$2:$A$6,0)),"")</f>
        <v>Trailhead Burger Co. #103 - Corpus Christi, TX</v>
      </c>
      <c r="F19" s="7" t="s">
        <v>31</v>
      </c>
      <c r="G19" s="7" t="str">
        <f>IFERROR(INDEX(Chart_of_Accounts!$B$2:$B$18,MATCH(F19,Chart_of_Accounts!$A$2:$A$18,0)),"")</f>
        <v>Cash</v>
      </c>
      <c r="H19" s="7" t="str">
        <f>IFERROR(INDEX(Chart_of_Accounts!$C$2:$C$18,MATCH(F19,Chart_of_Accounts!$A$2:$A$18,0)),"")</f>
        <v>Asset</v>
      </c>
      <c r="I19" s="9"/>
      <c r="J19" s="9">
        <v>95000</v>
      </c>
      <c r="K19" s="7" t="s">
        <v>119</v>
      </c>
      <c r="L19" s="7" t="s">
        <v>113</v>
      </c>
      <c r="M19" s="7" t="s">
        <v>114</v>
      </c>
      <c r="N19" s="7" t="s">
        <v>102</v>
      </c>
      <c r="O19" s="7" t="str">
        <f>IFERROR(INDEX(Vendors!$B$2:$B$10,MATCH(N19,Vendors!$A$2:$A$10,0)),"")</f>
        <v>Trailhead Burger Co. - Corporate</v>
      </c>
      <c r="P19" s="7" t="s">
        <v>120</v>
      </c>
    </row>
    <row r="20" spans="1:16" x14ac:dyDescent="0.25">
      <c r="A20" s="7">
        <v>10</v>
      </c>
      <c r="B20" s="7" t="s">
        <v>127</v>
      </c>
      <c r="C20" s="8">
        <v>46024</v>
      </c>
      <c r="D20" s="7" t="s">
        <v>80</v>
      </c>
      <c r="E20" s="7" t="str">
        <f>IFERROR(INDEX(Restaurants!$B$2:$B$6,MATCH(D20,Restaurants!$A$2:$A$6,0)),"")</f>
        <v>Trailhead Burger Co. #104 - Laredo, TX</v>
      </c>
      <c r="F20" s="7" t="s">
        <v>31</v>
      </c>
      <c r="G20" s="7" t="str">
        <f>IFERROR(INDEX(Chart_of_Accounts!$B$2:$B$18,MATCH(F20,Chart_of_Accounts!$A$2:$A$18,0)),"")</f>
        <v>Cash</v>
      </c>
      <c r="H20" s="7" t="str">
        <f>IFERROR(INDEX(Chart_of_Accounts!$C$2:$C$18,MATCH(F20,Chart_of_Accounts!$A$2:$A$18,0)),"")</f>
        <v>Asset</v>
      </c>
      <c r="I20" s="9">
        <v>60000</v>
      </c>
      <c r="J20" s="9"/>
      <c r="K20" s="7" t="s">
        <v>112</v>
      </c>
      <c r="L20" s="7" t="s">
        <v>113</v>
      </c>
      <c r="M20" s="7" t="s">
        <v>114</v>
      </c>
      <c r="N20" s="7"/>
      <c r="O20" s="7"/>
      <c r="P20" s="7" t="s">
        <v>115</v>
      </c>
    </row>
    <row r="21" spans="1:16" x14ac:dyDescent="0.25">
      <c r="A21" s="7">
        <v>10</v>
      </c>
      <c r="B21" s="7" t="s">
        <v>127</v>
      </c>
      <c r="C21" s="8">
        <v>46024</v>
      </c>
      <c r="D21" s="7" t="s">
        <v>80</v>
      </c>
      <c r="E21" s="7" t="str">
        <f>IFERROR(INDEX(Restaurants!$B$2:$B$6,MATCH(D21,Restaurants!$A$2:$A$6,0)),"")</f>
        <v>Trailhead Burger Co. #104 - Laredo, TX</v>
      </c>
      <c r="F21" s="7" t="s">
        <v>47</v>
      </c>
      <c r="G21" s="7" t="str">
        <f>IFERROR(INDEX(Chart_of_Accounts!$B$2:$B$18,MATCH(F21,Chart_of_Accounts!$A$2:$A$18,0)),"")</f>
        <v>Owner's Equity</v>
      </c>
      <c r="H21" s="7" t="str">
        <f>IFERROR(INDEX(Chart_of_Accounts!$C$2:$C$18,MATCH(F21,Chart_of_Accounts!$A$2:$A$18,0)),"")</f>
        <v>Equity</v>
      </c>
      <c r="I21" s="9"/>
      <c r="J21" s="9">
        <v>60000</v>
      </c>
      <c r="K21" s="7" t="s">
        <v>112</v>
      </c>
      <c r="L21" s="7" t="s">
        <v>113</v>
      </c>
      <c r="M21" s="7" t="s">
        <v>114</v>
      </c>
      <c r="N21" s="7"/>
      <c r="O21" s="7"/>
      <c r="P21" s="7" t="s">
        <v>115</v>
      </c>
    </row>
    <row r="22" spans="1:16" x14ac:dyDescent="0.25">
      <c r="A22" s="7">
        <v>11</v>
      </c>
      <c r="B22" s="7" t="s">
        <v>128</v>
      </c>
      <c r="C22" s="8">
        <v>46024</v>
      </c>
      <c r="D22" s="7" t="s">
        <v>80</v>
      </c>
      <c r="E22" s="7" t="str">
        <f>IFERROR(INDEX(Restaurants!$B$2:$B$6,MATCH(D22,Restaurants!$A$2:$A$6,0)),"")</f>
        <v>Trailhead Burger Co. #104 - Laredo, TX</v>
      </c>
      <c r="F22" s="7" t="s">
        <v>31</v>
      </c>
      <c r="G22" s="7" t="str">
        <f>IFERROR(INDEX(Chart_of_Accounts!$B$2:$B$18,MATCH(F22,Chart_of_Accounts!$A$2:$A$18,0)),"")</f>
        <v>Cash</v>
      </c>
      <c r="H22" s="7" t="str">
        <f>IFERROR(INDEX(Chart_of_Accounts!$C$2:$C$18,MATCH(F22,Chart_of_Accounts!$A$2:$A$18,0)),"")</f>
        <v>Asset</v>
      </c>
      <c r="I22" s="9">
        <v>40000</v>
      </c>
      <c r="J22" s="9"/>
      <c r="K22" s="7" t="s">
        <v>117</v>
      </c>
      <c r="L22" s="7" t="s">
        <v>113</v>
      </c>
      <c r="M22" s="7" t="s">
        <v>114</v>
      </c>
      <c r="N22" s="7"/>
      <c r="O22" s="7"/>
      <c r="P22" s="7" t="s">
        <v>115</v>
      </c>
    </row>
    <row r="23" spans="1:16" x14ac:dyDescent="0.25">
      <c r="A23" s="7">
        <v>11</v>
      </c>
      <c r="B23" s="7" t="s">
        <v>128</v>
      </c>
      <c r="C23" s="8">
        <v>46024</v>
      </c>
      <c r="D23" s="7" t="s">
        <v>80</v>
      </c>
      <c r="E23" s="7" t="str">
        <f>IFERROR(INDEX(Restaurants!$B$2:$B$6,MATCH(D23,Restaurants!$A$2:$A$6,0)),"")</f>
        <v>Trailhead Burger Co. #104 - Laredo, TX</v>
      </c>
      <c r="F23" s="7" t="s">
        <v>45</v>
      </c>
      <c r="G23" s="7" t="str">
        <f>IFERROR(INDEX(Chart_of_Accounts!$B$2:$B$18,MATCH(F23,Chart_of_Accounts!$A$2:$A$18,0)),"")</f>
        <v>Loan Payable</v>
      </c>
      <c r="H23" s="7" t="str">
        <f>IFERROR(INDEX(Chart_of_Accounts!$C$2:$C$18,MATCH(F23,Chart_of_Accounts!$A$2:$A$18,0)),"")</f>
        <v>Liability</v>
      </c>
      <c r="I23" s="9"/>
      <c r="J23" s="9">
        <v>40000</v>
      </c>
      <c r="K23" s="7" t="s">
        <v>117</v>
      </c>
      <c r="L23" s="7" t="s">
        <v>113</v>
      </c>
      <c r="M23" s="7" t="s">
        <v>114</v>
      </c>
      <c r="N23" s="7"/>
      <c r="O23" s="7"/>
      <c r="P23" s="7" t="s">
        <v>115</v>
      </c>
    </row>
    <row r="24" spans="1:16" x14ac:dyDescent="0.25">
      <c r="A24" s="7">
        <v>12</v>
      </c>
      <c r="B24" s="7" t="s">
        <v>129</v>
      </c>
      <c r="C24" s="8">
        <v>46024</v>
      </c>
      <c r="D24" s="7" t="s">
        <v>80</v>
      </c>
      <c r="E24" s="7" t="str">
        <f>IFERROR(INDEX(Restaurants!$B$2:$B$6,MATCH(D24,Restaurants!$A$2:$A$6,0)),"")</f>
        <v>Trailhead Burger Co. #104 - Laredo, TX</v>
      </c>
      <c r="F24" s="7" t="s">
        <v>39</v>
      </c>
      <c r="G24" s="7" t="str">
        <f>IFERROR(INDEX(Chart_of_Accounts!$B$2:$B$18,MATCH(F24,Chart_of_Accounts!$A$2:$A$18,0)),"")</f>
        <v>Equipment</v>
      </c>
      <c r="H24" s="7" t="str">
        <f>IFERROR(INDEX(Chart_of_Accounts!$C$2:$C$18,MATCH(F24,Chart_of_Accounts!$A$2:$A$18,0)),"")</f>
        <v>Asset</v>
      </c>
      <c r="I24" s="9">
        <v>95000</v>
      </c>
      <c r="J24" s="9"/>
      <c r="K24" s="7" t="s">
        <v>119</v>
      </c>
      <c r="L24" s="7" t="s">
        <v>113</v>
      </c>
      <c r="M24" s="7" t="s">
        <v>114</v>
      </c>
      <c r="N24" s="7" t="s">
        <v>102</v>
      </c>
      <c r="O24" s="7" t="str">
        <f>IFERROR(INDEX(Vendors!$B$2:$B$10,MATCH(N24,Vendors!$A$2:$A$10,0)),"")</f>
        <v>Trailhead Burger Co. - Corporate</v>
      </c>
      <c r="P24" s="7" t="s">
        <v>120</v>
      </c>
    </row>
    <row r="25" spans="1:16" x14ac:dyDescent="0.25">
      <c r="A25" s="7">
        <v>12</v>
      </c>
      <c r="B25" s="7" t="s">
        <v>129</v>
      </c>
      <c r="C25" s="8">
        <v>46024</v>
      </c>
      <c r="D25" s="7" t="s">
        <v>80</v>
      </c>
      <c r="E25" s="7" t="str">
        <f>IFERROR(INDEX(Restaurants!$B$2:$B$6,MATCH(D25,Restaurants!$A$2:$A$6,0)),"")</f>
        <v>Trailhead Burger Co. #104 - Laredo, TX</v>
      </c>
      <c r="F25" s="7" t="s">
        <v>31</v>
      </c>
      <c r="G25" s="7" t="str">
        <f>IFERROR(INDEX(Chart_of_Accounts!$B$2:$B$18,MATCH(F25,Chart_of_Accounts!$A$2:$A$18,0)),"")</f>
        <v>Cash</v>
      </c>
      <c r="H25" s="7" t="str">
        <f>IFERROR(INDEX(Chart_of_Accounts!$C$2:$C$18,MATCH(F25,Chart_of_Accounts!$A$2:$A$18,0)),"")</f>
        <v>Asset</v>
      </c>
      <c r="I25" s="9"/>
      <c r="J25" s="9">
        <v>95000</v>
      </c>
      <c r="K25" s="7" t="s">
        <v>119</v>
      </c>
      <c r="L25" s="7" t="s">
        <v>113</v>
      </c>
      <c r="M25" s="7" t="s">
        <v>114</v>
      </c>
      <c r="N25" s="7" t="s">
        <v>102</v>
      </c>
      <c r="O25" s="7" t="str">
        <f>IFERROR(INDEX(Vendors!$B$2:$B$10,MATCH(N25,Vendors!$A$2:$A$10,0)),"")</f>
        <v>Trailhead Burger Co. - Corporate</v>
      </c>
      <c r="P25" s="7" t="s">
        <v>120</v>
      </c>
    </row>
    <row r="26" spans="1:16" x14ac:dyDescent="0.25">
      <c r="A26" s="7">
        <v>13</v>
      </c>
      <c r="B26" s="7" t="s">
        <v>130</v>
      </c>
      <c r="C26" s="8">
        <v>46024</v>
      </c>
      <c r="D26" s="7" t="s">
        <v>82</v>
      </c>
      <c r="E26" s="7" t="str">
        <f>IFERROR(INDEX(Restaurants!$B$2:$B$6,MATCH(D26,Restaurants!$A$2:$A$6,0)),"")</f>
        <v>Trailhead Burger Co. #105 - Houston, TX</v>
      </c>
      <c r="F26" s="7" t="s">
        <v>31</v>
      </c>
      <c r="G26" s="7" t="str">
        <f>IFERROR(INDEX(Chart_of_Accounts!$B$2:$B$18,MATCH(F26,Chart_of_Accounts!$A$2:$A$18,0)),"")</f>
        <v>Cash</v>
      </c>
      <c r="H26" s="7" t="str">
        <f>IFERROR(INDEX(Chart_of_Accounts!$C$2:$C$18,MATCH(F26,Chart_of_Accounts!$A$2:$A$18,0)),"")</f>
        <v>Asset</v>
      </c>
      <c r="I26" s="9">
        <v>60000</v>
      </c>
      <c r="J26" s="9"/>
      <c r="K26" s="7" t="s">
        <v>112</v>
      </c>
      <c r="L26" s="7" t="s">
        <v>113</v>
      </c>
      <c r="M26" s="7" t="s">
        <v>114</v>
      </c>
      <c r="N26" s="7"/>
      <c r="O26" s="7"/>
      <c r="P26" s="7" t="s">
        <v>115</v>
      </c>
    </row>
    <row r="27" spans="1:16" x14ac:dyDescent="0.25">
      <c r="A27" s="7">
        <v>13</v>
      </c>
      <c r="B27" s="7" t="s">
        <v>130</v>
      </c>
      <c r="C27" s="8">
        <v>46024</v>
      </c>
      <c r="D27" s="7" t="s">
        <v>82</v>
      </c>
      <c r="E27" s="7" t="str">
        <f>IFERROR(INDEX(Restaurants!$B$2:$B$6,MATCH(D27,Restaurants!$A$2:$A$6,0)),"")</f>
        <v>Trailhead Burger Co. #105 - Houston, TX</v>
      </c>
      <c r="F27" s="7" t="s">
        <v>47</v>
      </c>
      <c r="G27" s="7" t="str">
        <f>IFERROR(INDEX(Chart_of_Accounts!$B$2:$B$18,MATCH(F27,Chart_of_Accounts!$A$2:$A$18,0)),"")</f>
        <v>Owner's Equity</v>
      </c>
      <c r="H27" s="7" t="str">
        <f>IFERROR(INDEX(Chart_of_Accounts!$C$2:$C$18,MATCH(F27,Chart_of_Accounts!$A$2:$A$18,0)),"")</f>
        <v>Equity</v>
      </c>
      <c r="I27" s="9"/>
      <c r="J27" s="9">
        <v>60000</v>
      </c>
      <c r="K27" s="7" t="s">
        <v>112</v>
      </c>
      <c r="L27" s="7" t="s">
        <v>113</v>
      </c>
      <c r="M27" s="7" t="s">
        <v>114</v>
      </c>
      <c r="N27" s="7"/>
      <c r="O27" s="7"/>
      <c r="P27" s="7" t="s">
        <v>115</v>
      </c>
    </row>
    <row r="28" spans="1:16" x14ac:dyDescent="0.25">
      <c r="A28" s="7">
        <v>14</v>
      </c>
      <c r="B28" s="7" t="s">
        <v>131</v>
      </c>
      <c r="C28" s="8">
        <v>46024</v>
      </c>
      <c r="D28" s="7" t="s">
        <v>82</v>
      </c>
      <c r="E28" s="7" t="str">
        <f>IFERROR(INDEX(Restaurants!$B$2:$B$6,MATCH(D28,Restaurants!$A$2:$A$6,0)),"")</f>
        <v>Trailhead Burger Co. #105 - Houston, TX</v>
      </c>
      <c r="F28" s="7" t="s">
        <v>31</v>
      </c>
      <c r="G28" s="7" t="str">
        <f>IFERROR(INDEX(Chart_of_Accounts!$B$2:$B$18,MATCH(F28,Chart_of_Accounts!$A$2:$A$18,0)),"")</f>
        <v>Cash</v>
      </c>
      <c r="H28" s="7" t="str">
        <f>IFERROR(INDEX(Chart_of_Accounts!$C$2:$C$18,MATCH(F28,Chart_of_Accounts!$A$2:$A$18,0)),"")</f>
        <v>Asset</v>
      </c>
      <c r="I28" s="9">
        <v>40000</v>
      </c>
      <c r="J28" s="9"/>
      <c r="K28" s="7" t="s">
        <v>117</v>
      </c>
      <c r="L28" s="7" t="s">
        <v>113</v>
      </c>
      <c r="M28" s="7" t="s">
        <v>114</v>
      </c>
      <c r="N28" s="7"/>
      <c r="O28" s="7"/>
      <c r="P28" s="7" t="s">
        <v>115</v>
      </c>
    </row>
    <row r="29" spans="1:16" x14ac:dyDescent="0.25">
      <c r="A29" s="7">
        <v>14</v>
      </c>
      <c r="B29" s="7" t="s">
        <v>131</v>
      </c>
      <c r="C29" s="8">
        <v>46024</v>
      </c>
      <c r="D29" s="7" t="s">
        <v>82</v>
      </c>
      <c r="E29" s="7" t="str">
        <f>IFERROR(INDEX(Restaurants!$B$2:$B$6,MATCH(D29,Restaurants!$A$2:$A$6,0)),"")</f>
        <v>Trailhead Burger Co. #105 - Houston, TX</v>
      </c>
      <c r="F29" s="7" t="s">
        <v>45</v>
      </c>
      <c r="G29" s="7" t="str">
        <f>IFERROR(INDEX(Chart_of_Accounts!$B$2:$B$18,MATCH(F29,Chart_of_Accounts!$A$2:$A$18,0)),"")</f>
        <v>Loan Payable</v>
      </c>
      <c r="H29" s="7" t="str">
        <f>IFERROR(INDEX(Chart_of_Accounts!$C$2:$C$18,MATCH(F29,Chart_of_Accounts!$A$2:$A$18,0)),"")</f>
        <v>Liability</v>
      </c>
      <c r="I29" s="9"/>
      <c r="J29" s="9">
        <v>40000</v>
      </c>
      <c r="K29" s="7" t="s">
        <v>117</v>
      </c>
      <c r="L29" s="7" t="s">
        <v>113</v>
      </c>
      <c r="M29" s="7" t="s">
        <v>114</v>
      </c>
      <c r="N29" s="7"/>
      <c r="O29" s="7"/>
      <c r="P29" s="7" t="s">
        <v>115</v>
      </c>
    </row>
    <row r="30" spans="1:16" x14ac:dyDescent="0.25">
      <c r="A30" s="7">
        <v>15</v>
      </c>
      <c r="B30" s="7" t="s">
        <v>132</v>
      </c>
      <c r="C30" s="8">
        <v>46024</v>
      </c>
      <c r="D30" s="7" t="s">
        <v>82</v>
      </c>
      <c r="E30" s="7" t="str">
        <f>IFERROR(INDEX(Restaurants!$B$2:$B$6,MATCH(D30,Restaurants!$A$2:$A$6,0)),"")</f>
        <v>Trailhead Burger Co. #105 - Houston, TX</v>
      </c>
      <c r="F30" s="7" t="s">
        <v>39</v>
      </c>
      <c r="G30" s="7" t="str">
        <f>IFERROR(INDEX(Chart_of_Accounts!$B$2:$B$18,MATCH(F30,Chart_of_Accounts!$A$2:$A$18,0)),"")</f>
        <v>Equipment</v>
      </c>
      <c r="H30" s="7" t="str">
        <f>IFERROR(INDEX(Chart_of_Accounts!$C$2:$C$18,MATCH(F30,Chart_of_Accounts!$A$2:$A$18,0)),"")</f>
        <v>Asset</v>
      </c>
      <c r="I30" s="9">
        <v>95000</v>
      </c>
      <c r="J30" s="9"/>
      <c r="K30" s="7" t="s">
        <v>119</v>
      </c>
      <c r="L30" s="7" t="s">
        <v>113</v>
      </c>
      <c r="M30" s="7" t="s">
        <v>114</v>
      </c>
      <c r="N30" s="7" t="s">
        <v>102</v>
      </c>
      <c r="O30" s="7" t="str">
        <f>IFERROR(INDEX(Vendors!$B$2:$B$10,MATCH(N30,Vendors!$A$2:$A$10,0)),"")</f>
        <v>Trailhead Burger Co. - Corporate</v>
      </c>
      <c r="P30" s="7" t="s">
        <v>120</v>
      </c>
    </row>
    <row r="31" spans="1:16" x14ac:dyDescent="0.25">
      <c r="A31" s="7">
        <v>15</v>
      </c>
      <c r="B31" s="7" t="s">
        <v>132</v>
      </c>
      <c r="C31" s="8">
        <v>46024</v>
      </c>
      <c r="D31" s="7" t="s">
        <v>82</v>
      </c>
      <c r="E31" s="7" t="str">
        <f>IFERROR(INDEX(Restaurants!$B$2:$B$6,MATCH(D31,Restaurants!$A$2:$A$6,0)),"")</f>
        <v>Trailhead Burger Co. #105 - Houston, TX</v>
      </c>
      <c r="F31" s="7" t="s">
        <v>31</v>
      </c>
      <c r="G31" s="7" t="str">
        <f>IFERROR(INDEX(Chart_of_Accounts!$B$2:$B$18,MATCH(F31,Chart_of_Accounts!$A$2:$A$18,0)),"")</f>
        <v>Cash</v>
      </c>
      <c r="H31" s="7" t="str">
        <f>IFERROR(INDEX(Chart_of_Accounts!$C$2:$C$18,MATCH(F31,Chart_of_Accounts!$A$2:$A$18,0)),"")</f>
        <v>Asset</v>
      </c>
      <c r="I31" s="9"/>
      <c r="J31" s="9">
        <v>95000</v>
      </c>
      <c r="K31" s="7" t="s">
        <v>119</v>
      </c>
      <c r="L31" s="7" t="s">
        <v>113</v>
      </c>
      <c r="M31" s="7" t="s">
        <v>114</v>
      </c>
      <c r="N31" s="7" t="s">
        <v>102</v>
      </c>
      <c r="O31" s="7" t="str">
        <f>IFERROR(INDEX(Vendors!$B$2:$B$10,MATCH(N31,Vendors!$A$2:$A$10,0)),"")</f>
        <v>Trailhead Burger Co. - Corporate</v>
      </c>
      <c r="P31" s="7" t="s">
        <v>120</v>
      </c>
    </row>
    <row r="32" spans="1:16" x14ac:dyDescent="0.25">
      <c r="A32" s="7">
        <v>16</v>
      </c>
      <c r="B32" s="7" t="s">
        <v>133</v>
      </c>
      <c r="C32" s="8">
        <v>46027</v>
      </c>
      <c r="D32" s="7" t="s">
        <v>74</v>
      </c>
      <c r="E32" s="7" t="str">
        <f>IFERROR(INDEX(Restaurants!$B$2:$B$6,MATCH(D32,Restaurants!$A$2:$A$6,0)),"")</f>
        <v>Trailhead Burger Co. #101 - San Antonio, TX</v>
      </c>
      <c r="F32" s="7" t="s">
        <v>31</v>
      </c>
      <c r="G32" s="7" t="str">
        <f>IFERROR(INDEX(Chart_of_Accounts!$B$2:$B$18,MATCH(F32,Chart_of_Accounts!$A$2:$A$18,0)),"")</f>
        <v>Cash</v>
      </c>
      <c r="H32" s="7" t="str">
        <f>IFERROR(INDEX(Chart_of_Accounts!$C$2:$C$18,MATCH(F32,Chart_of_Accounts!$A$2:$A$18,0)),"")</f>
        <v>Asset</v>
      </c>
      <c r="I32" s="9">
        <v>100000</v>
      </c>
      <c r="J32" s="9"/>
      <c r="K32" s="7" t="s">
        <v>134</v>
      </c>
      <c r="L32" s="7" t="s">
        <v>32</v>
      </c>
      <c r="M32" s="7" t="s">
        <v>135</v>
      </c>
      <c r="N32" s="7"/>
      <c r="O32" s="7"/>
      <c r="P32" s="7" t="s">
        <v>136</v>
      </c>
    </row>
    <row r="33" spans="1:16" x14ac:dyDescent="0.25">
      <c r="A33" s="7">
        <v>16</v>
      </c>
      <c r="B33" s="7" t="s">
        <v>133</v>
      </c>
      <c r="C33" s="8">
        <v>46027</v>
      </c>
      <c r="D33" s="7" t="s">
        <v>74</v>
      </c>
      <c r="E33" s="7" t="str">
        <f>IFERROR(INDEX(Restaurants!$B$2:$B$6,MATCH(D33,Restaurants!$A$2:$A$6,0)),"")</f>
        <v>Trailhead Burger Co. #101 - San Antonio, TX</v>
      </c>
      <c r="F33" s="7" t="s">
        <v>50</v>
      </c>
      <c r="G33" s="7" t="str">
        <f>IFERROR(INDEX(Chart_of_Accounts!$B$2:$B$18,MATCH(F33,Chart_of_Accounts!$A$2:$A$18,0)),"")</f>
        <v>Restaurant Sales</v>
      </c>
      <c r="H33" s="7" t="str">
        <f>IFERROR(INDEX(Chart_of_Accounts!$C$2:$C$18,MATCH(F33,Chart_of_Accounts!$A$2:$A$18,0)),"")</f>
        <v>Revenue</v>
      </c>
      <c r="I33" s="9"/>
      <c r="J33" s="9">
        <v>100000</v>
      </c>
      <c r="K33" s="7" t="s">
        <v>134</v>
      </c>
      <c r="L33" s="7" t="s">
        <v>32</v>
      </c>
      <c r="M33" s="7" t="s">
        <v>135</v>
      </c>
      <c r="N33" s="7"/>
      <c r="O33" s="7"/>
      <c r="P33" s="7" t="s">
        <v>136</v>
      </c>
    </row>
    <row r="34" spans="1:16" x14ac:dyDescent="0.25">
      <c r="A34" s="7">
        <v>17</v>
      </c>
      <c r="B34" s="7" t="s">
        <v>137</v>
      </c>
      <c r="C34" s="8">
        <v>46029</v>
      </c>
      <c r="D34" s="7" t="s">
        <v>74</v>
      </c>
      <c r="E34" s="7" t="str">
        <f>IFERROR(INDEX(Restaurants!$B$2:$B$6,MATCH(D34,Restaurants!$A$2:$A$6,0)),"")</f>
        <v>Trailhead Burger Co. #101 - San Antonio, TX</v>
      </c>
      <c r="F34" s="7" t="s">
        <v>35</v>
      </c>
      <c r="G34" s="7" t="str">
        <f>IFERROR(INDEX(Chart_of_Accounts!$B$2:$B$18,MATCH(F34,Chart_of_Accounts!$A$2:$A$18,0)),"")</f>
        <v>Accounts Receivable</v>
      </c>
      <c r="H34" s="7" t="str">
        <f>IFERROR(INDEX(Chart_of_Accounts!$C$2:$C$18,MATCH(F34,Chart_of_Accounts!$A$2:$A$18,0)),"")</f>
        <v>Asset</v>
      </c>
      <c r="I34" s="9">
        <v>22000</v>
      </c>
      <c r="J34" s="9"/>
      <c r="K34" s="7" t="s">
        <v>138</v>
      </c>
      <c r="L34" s="7" t="s">
        <v>139</v>
      </c>
      <c r="M34" s="7" t="s">
        <v>140</v>
      </c>
      <c r="N34" s="7" t="s">
        <v>94</v>
      </c>
      <c r="O34" s="7" t="str">
        <f>IFERROR(INDEX(Vendors!$B$2:$B$10,MATCH(N34,Vendors!$A$2:$A$10,0)),"")</f>
        <v>QuickDash Delivery Platform</v>
      </c>
      <c r="P34" s="7" t="s">
        <v>136</v>
      </c>
    </row>
    <row r="35" spans="1:16" x14ac:dyDescent="0.25">
      <c r="A35" s="7">
        <v>17</v>
      </c>
      <c r="B35" s="7" t="s">
        <v>137</v>
      </c>
      <c r="C35" s="8">
        <v>46029</v>
      </c>
      <c r="D35" s="7" t="s">
        <v>74</v>
      </c>
      <c r="E35" s="7" t="str">
        <f>IFERROR(INDEX(Restaurants!$B$2:$B$6,MATCH(D35,Restaurants!$A$2:$A$6,0)),"")</f>
        <v>Trailhead Burger Co. #101 - San Antonio, TX</v>
      </c>
      <c r="F35" s="7" t="s">
        <v>53</v>
      </c>
      <c r="G35" s="7" t="str">
        <f>IFERROR(INDEX(Chart_of_Accounts!$B$2:$B$18,MATCH(F35,Chart_of_Accounts!$A$2:$A$18,0)),"")</f>
        <v>Delivery Sales</v>
      </c>
      <c r="H35" s="7" t="str">
        <f>IFERROR(INDEX(Chart_of_Accounts!$C$2:$C$18,MATCH(F35,Chart_of_Accounts!$A$2:$A$18,0)),"")</f>
        <v>Revenue</v>
      </c>
      <c r="I35" s="9"/>
      <c r="J35" s="9">
        <v>22000</v>
      </c>
      <c r="K35" s="7" t="s">
        <v>138</v>
      </c>
      <c r="L35" s="7" t="s">
        <v>139</v>
      </c>
      <c r="M35" s="7" t="s">
        <v>140</v>
      </c>
      <c r="N35" s="7" t="s">
        <v>94</v>
      </c>
      <c r="O35" s="7" t="str">
        <f>IFERROR(INDEX(Vendors!$B$2:$B$10,MATCH(N35,Vendors!$A$2:$A$10,0)),"")</f>
        <v>QuickDash Delivery Platform</v>
      </c>
      <c r="P35" s="7" t="s">
        <v>136</v>
      </c>
    </row>
    <row r="36" spans="1:16" x14ac:dyDescent="0.25">
      <c r="A36" s="7">
        <v>18</v>
      </c>
      <c r="B36" s="7" t="s">
        <v>141</v>
      </c>
      <c r="C36" s="8">
        <v>46032</v>
      </c>
      <c r="D36" s="7" t="s">
        <v>74</v>
      </c>
      <c r="E36" s="7" t="str">
        <f>IFERROR(INDEX(Restaurants!$B$2:$B$6,MATCH(D36,Restaurants!$A$2:$A$6,0)),"")</f>
        <v>Trailhead Burger Co. #101 - San Antonio, TX</v>
      </c>
      <c r="F36" s="7" t="s">
        <v>31</v>
      </c>
      <c r="G36" s="7" t="str">
        <f>IFERROR(INDEX(Chart_of_Accounts!$B$2:$B$18,MATCH(F36,Chart_of_Accounts!$A$2:$A$18,0)),"")</f>
        <v>Cash</v>
      </c>
      <c r="H36" s="7" t="str">
        <f>IFERROR(INDEX(Chart_of_Accounts!$C$2:$C$18,MATCH(F36,Chart_of_Accounts!$A$2:$A$18,0)),"")</f>
        <v>Asset</v>
      </c>
      <c r="I36" s="9">
        <v>22000</v>
      </c>
      <c r="J36" s="9"/>
      <c r="K36" s="7" t="s">
        <v>142</v>
      </c>
      <c r="L36" s="7" t="s">
        <v>139</v>
      </c>
      <c r="M36" s="7" t="s">
        <v>140</v>
      </c>
      <c r="N36" s="7" t="s">
        <v>94</v>
      </c>
      <c r="O36" s="7" t="str">
        <f>IFERROR(INDEX(Vendors!$B$2:$B$10,MATCH(N36,Vendors!$A$2:$A$10,0)),"")</f>
        <v>QuickDash Delivery Platform</v>
      </c>
      <c r="P36" s="7" t="s">
        <v>136</v>
      </c>
    </row>
    <row r="37" spans="1:16" x14ac:dyDescent="0.25">
      <c r="A37" s="7">
        <v>18</v>
      </c>
      <c r="B37" s="7" t="s">
        <v>141</v>
      </c>
      <c r="C37" s="8">
        <v>46032</v>
      </c>
      <c r="D37" s="7" t="s">
        <v>74</v>
      </c>
      <c r="E37" s="7" t="str">
        <f>IFERROR(INDEX(Restaurants!$B$2:$B$6,MATCH(D37,Restaurants!$A$2:$A$6,0)),"")</f>
        <v>Trailhead Burger Co. #101 - San Antonio, TX</v>
      </c>
      <c r="F37" s="7" t="s">
        <v>35</v>
      </c>
      <c r="G37" s="7" t="str">
        <f>IFERROR(INDEX(Chart_of_Accounts!$B$2:$B$18,MATCH(F37,Chart_of_Accounts!$A$2:$A$18,0)),"")</f>
        <v>Accounts Receivable</v>
      </c>
      <c r="H37" s="7" t="str">
        <f>IFERROR(INDEX(Chart_of_Accounts!$C$2:$C$18,MATCH(F37,Chart_of_Accounts!$A$2:$A$18,0)),"")</f>
        <v>Asset</v>
      </c>
      <c r="I37" s="9"/>
      <c r="J37" s="9">
        <v>22000</v>
      </c>
      <c r="K37" s="7" t="s">
        <v>142</v>
      </c>
      <c r="L37" s="7" t="s">
        <v>139</v>
      </c>
      <c r="M37" s="7" t="s">
        <v>140</v>
      </c>
      <c r="N37" s="7" t="s">
        <v>94</v>
      </c>
      <c r="O37" s="7" t="str">
        <f>IFERROR(INDEX(Vendors!$B$2:$B$10,MATCH(N37,Vendors!$A$2:$A$10,0)),"")</f>
        <v>QuickDash Delivery Platform</v>
      </c>
      <c r="P37" s="7" t="s">
        <v>136</v>
      </c>
    </row>
    <row r="38" spans="1:16" x14ac:dyDescent="0.25">
      <c r="A38" s="7">
        <v>19</v>
      </c>
      <c r="B38" s="7" t="s">
        <v>143</v>
      </c>
      <c r="C38" s="8">
        <v>46032</v>
      </c>
      <c r="D38" s="7" t="s">
        <v>74</v>
      </c>
      <c r="E38" s="7" t="str">
        <f>IFERROR(INDEX(Restaurants!$B$2:$B$6,MATCH(D38,Restaurants!$A$2:$A$6,0)),"")</f>
        <v>Trailhead Burger Co. #101 - San Antonio, TX</v>
      </c>
      <c r="F38" s="7" t="s">
        <v>64</v>
      </c>
      <c r="G38" s="7" t="str">
        <f>IFERROR(INDEX(Chart_of_Accounts!$B$2:$B$18,MATCH(F38,Chart_of_Accounts!$A$2:$A$18,0)),"")</f>
        <v>Delivery Fees</v>
      </c>
      <c r="H38" s="7" t="str">
        <f>IFERROR(INDEX(Chart_of_Accounts!$C$2:$C$18,MATCH(F38,Chart_of_Accounts!$A$2:$A$18,0)),"")</f>
        <v>Expense</v>
      </c>
      <c r="I38" s="9">
        <v>3300</v>
      </c>
      <c r="J38" s="9"/>
      <c r="K38" s="7" t="s">
        <v>144</v>
      </c>
      <c r="L38" s="7" t="s">
        <v>32</v>
      </c>
      <c r="M38" s="7" t="s">
        <v>140</v>
      </c>
      <c r="N38" s="7" t="s">
        <v>94</v>
      </c>
      <c r="O38" s="7" t="str">
        <f>IFERROR(INDEX(Vendors!$B$2:$B$10,MATCH(N38,Vendors!$A$2:$A$10,0)),"")</f>
        <v>QuickDash Delivery Platform</v>
      </c>
      <c r="P38" s="7" t="s">
        <v>136</v>
      </c>
    </row>
    <row r="39" spans="1:16" x14ac:dyDescent="0.25">
      <c r="A39" s="7">
        <v>19</v>
      </c>
      <c r="B39" s="7" t="s">
        <v>143</v>
      </c>
      <c r="C39" s="8">
        <v>46032</v>
      </c>
      <c r="D39" s="7" t="s">
        <v>74</v>
      </c>
      <c r="E39" s="7" t="str">
        <f>IFERROR(INDEX(Restaurants!$B$2:$B$6,MATCH(D39,Restaurants!$A$2:$A$6,0)),"")</f>
        <v>Trailhead Burger Co. #101 - San Antonio, TX</v>
      </c>
      <c r="F39" s="7" t="s">
        <v>31</v>
      </c>
      <c r="G39" s="7" t="str">
        <f>IFERROR(INDEX(Chart_of_Accounts!$B$2:$B$18,MATCH(F39,Chart_of_Accounts!$A$2:$A$18,0)),"")</f>
        <v>Cash</v>
      </c>
      <c r="H39" s="7" t="str">
        <f>IFERROR(INDEX(Chart_of_Accounts!$C$2:$C$18,MATCH(F39,Chart_of_Accounts!$A$2:$A$18,0)),"")</f>
        <v>Asset</v>
      </c>
      <c r="I39" s="9"/>
      <c r="J39" s="9">
        <v>3300</v>
      </c>
      <c r="K39" s="7" t="s">
        <v>144</v>
      </c>
      <c r="L39" s="7" t="s">
        <v>32</v>
      </c>
      <c r="M39" s="7" t="s">
        <v>140</v>
      </c>
      <c r="N39" s="7" t="s">
        <v>94</v>
      </c>
      <c r="O39" s="7" t="str">
        <f>IFERROR(INDEX(Vendors!$B$2:$B$10,MATCH(N39,Vendors!$A$2:$A$10,0)),"")</f>
        <v>QuickDash Delivery Platform</v>
      </c>
      <c r="P39" s="7" t="s">
        <v>136</v>
      </c>
    </row>
    <row r="40" spans="1:16" x14ac:dyDescent="0.25">
      <c r="A40" s="7">
        <v>20</v>
      </c>
      <c r="B40" s="7" t="s">
        <v>145</v>
      </c>
      <c r="C40" s="8">
        <v>46030</v>
      </c>
      <c r="D40" s="7" t="s">
        <v>74</v>
      </c>
      <c r="E40" s="7" t="str">
        <f>IFERROR(INDEX(Restaurants!$B$2:$B$6,MATCH(D40,Restaurants!$A$2:$A$6,0)),"")</f>
        <v>Trailhead Burger Co. #101 - San Antonio, TX</v>
      </c>
      <c r="F40" s="7" t="s">
        <v>37</v>
      </c>
      <c r="G40" s="7" t="str">
        <f>IFERROR(INDEX(Chart_of_Accounts!$B$2:$B$18,MATCH(F40,Chart_of_Accounts!$A$2:$A$18,0)),"")</f>
        <v>Inventory</v>
      </c>
      <c r="H40" s="7" t="str">
        <f>IFERROR(INDEX(Chart_of_Accounts!$C$2:$C$18,MATCH(F40,Chart_of_Accounts!$A$2:$A$18,0)),"")</f>
        <v>Asset</v>
      </c>
      <c r="I40" s="9">
        <v>38430</v>
      </c>
      <c r="J40" s="9"/>
      <c r="K40" s="7" t="s">
        <v>146</v>
      </c>
      <c r="L40" s="7" t="s">
        <v>113</v>
      </c>
      <c r="M40" s="7" t="s">
        <v>114</v>
      </c>
      <c r="N40" s="7" t="s">
        <v>86</v>
      </c>
      <c r="O40" s="7" t="str">
        <f>IFERROR(INDEX(Vendors!$B$2:$B$10,MATCH(N40,Vendors!$A$2:$A$10,0)),"")</f>
        <v>Gulf Coast Meat Supply</v>
      </c>
      <c r="P40" s="7" t="s">
        <v>147</v>
      </c>
    </row>
    <row r="41" spans="1:16" x14ac:dyDescent="0.25">
      <c r="A41" s="7">
        <v>20</v>
      </c>
      <c r="B41" s="7" t="s">
        <v>145</v>
      </c>
      <c r="C41" s="8">
        <v>46030</v>
      </c>
      <c r="D41" s="7" t="s">
        <v>74</v>
      </c>
      <c r="E41" s="7" t="str">
        <f>IFERROR(INDEX(Restaurants!$B$2:$B$6,MATCH(D41,Restaurants!$A$2:$A$6,0)),"")</f>
        <v>Trailhead Burger Co. #101 - San Antonio, TX</v>
      </c>
      <c r="F41" s="7" t="s">
        <v>41</v>
      </c>
      <c r="G41" s="7" t="str">
        <f>IFERROR(INDEX(Chart_of_Accounts!$B$2:$B$18,MATCH(F41,Chart_of_Accounts!$A$2:$A$18,0)),"")</f>
        <v>Accounts Payable</v>
      </c>
      <c r="H41" s="7" t="str">
        <f>IFERROR(INDEX(Chart_of_Accounts!$C$2:$C$18,MATCH(F41,Chart_of_Accounts!$A$2:$A$18,0)),"")</f>
        <v>Liability</v>
      </c>
      <c r="I41" s="9"/>
      <c r="J41" s="9">
        <v>38430</v>
      </c>
      <c r="K41" s="7" t="s">
        <v>146</v>
      </c>
      <c r="L41" s="7" t="s">
        <v>113</v>
      </c>
      <c r="M41" s="7" t="s">
        <v>114</v>
      </c>
      <c r="N41" s="7" t="s">
        <v>86</v>
      </c>
      <c r="O41" s="7" t="str">
        <f>IFERROR(INDEX(Vendors!$B$2:$B$10,MATCH(N41,Vendors!$A$2:$A$10,0)),"")</f>
        <v>Gulf Coast Meat Supply</v>
      </c>
      <c r="P41" s="7" t="s">
        <v>147</v>
      </c>
    </row>
    <row r="42" spans="1:16" x14ac:dyDescent="0.25">
      <c r="A42" s="7">
        <v>21</v>
      </c>
      <c r="B42" s="7" t="s">
        <v>148</v>
      </c>
      <c r="C42" s="8">
        <v>46050</v>
      </c>
      <c r="D42" s="7" t="s">
        <v>74</v>
      </c>
      <c r="E42" s="7" t="str">
        <f>IFERROR(INDEX(Restaurants!$B$2:$B$6,MATCH(D42,Restaurants!$A$2:$A$6,0)),"")</f>
        <v>Trailhead Burger Co. #101 - San Antonio, TX</v>
      </c>
      <c r="F42" s="7" t="s">
        <v>55</v>
      </c>
      <c r="G42" s="7" t="str">
        <f>IFERROR(INDEX(Chart_of_Accounts!$B$2:$B$18,MATCH(F42,Chart_of_Accounts!$A$2:$A$18,0)),"")</f>
        <v>Food Cost</v>
      </c>
      <c r="H42" s="7" t="str">
        <f>IFERROR(INDEX(Chart_of_Accounts!$C$2:$C$18,MATCH(F42,Chart_of_Accounts!$A$2:$A$18,0)),"")</f>
        <v>Expense</v>
      </c>
      <c r="I42" s="9">
        <v>36600</v>
      </c>
      <c r="J42" s="9"/>
      <c r="K42" s="7" t="s">
        <v>149</v>
      </c>
      <c r="L42" s="7" t="s">
        <v>113</v>
      </c>
      <c r="M42" s="7" t="s">
        <v>114</v>
      </c>
      <c r="N42" s="7" t="s">
        <v>86</v>
      </c>
      <c r="O42" s="7" t="str">
        <f>IFERROR(INDEX(Vendors!$B$2:$B$10,MATCH(N42,Vendors!$A$2:$A$10,0)),"")</f>
        <v>Gulf Coast Meat Supply</v>
      </c>
      <c r="P42" s="7" t="s">
        <v>136</v>
      </c>
    </row>
    <row r="43" spans="1:16" x14ac:dyDescent="0.25">
      <c r="A43" s="7">
        <v>21</v>
      </c>
      <c r="B43" s="7" t="s">
        <v>148</v>
      </c>
      <c r="C43" s="8">
        <v>46050</v>
      </c>
      <c r="D43" s="7" t="s">
        <v>74</v>
      </c>
      <c r="E43" s="7" t="str">
        <f>IFERROR(INDEX(Restaurants!$B$2:$B$6,MATCH(D43,Restaurants!$A$2:$A$6,0)),"")</f>
        <v>Trailhead Burger Co. #101 - San Antonio, TX</v>
      </c>
      <c r="F43" s="7" t="s">
        <v>37</v>
      </c>
      <c r="G43" s="7" t="str">
        <f>IFERROR(INDEX(Chart_of_Accounts!$B$2:$B$18,MATCH(F43,Chart_of_Accounts!$A$2:$A$18,0)),"")</f>
        <v>Inventory</v>
      </c>
      <c r="H43" s="7" t="str">
        <f>IFERROR(INDEX(Chart_of_Accounts!$C$2:$C$18,MATCH(F43,Chart_of_Accounts!$A$2:$A$18,0)),"")</f>
        <v>Asset</v>
      </c>
      <c r="I43" s="9"/>
      <c r="J43" s="9">
        <v>36600</v>
      </c>
      <c r="K43" s="7" t="s">
        <v>149</v>
      </c>
      <c r="L43" s="7" t="s">
        <v>113</v>
      </c>
      <c r="M43" s="7" t="s">
        <v>114</v>
      </c>
      <c r="N43" s="7" t="s">
        <v>86</v>
      </c>
      <c r="O43" s="7" t="str">
        <f>IFERROR(INDEX(Vendors!$B$2:$B$10,MATCH(N43,Vendors!$A$2:$A$10,0)),"")</f>
        <v>Gulf Coast Meat Supply</v>
      </c>
      <c r="P43" s="7" t="s">
        <v>136</v>
      </c>
    </row>
    <row r="44" spans="1:16" x14ac:dyDescent="0.25">
      <c r="A44" s="7">
        <v>22</v>
      </c>
      <c r="B44" s="7" t="s">
        <v>150</v>
      </c>
      <c r="C44" s="8">
        <v>46037</v>
      </c>
      <c r="D44" s="7" t="s">
        <v>74</v>
      </c>
      <c r="E44" s="7" t="str">
        <f>IFERROR(INDEX(Restaurants!$B$2:$B$6,MATCH(D44,Restaurants!$A$2:$A$6,0)),"")</f>
        <v>Trailhead Burger Co. #101 - San Antonio, TX</v>
      </c>
      <c r="F44" s="7" t="s">
        <v>58</v>
      </c>
      <c r="G44" s="7" t="str">
        <f>IFERROR(INDEX(Chart_of_Accounts!$B$2:$B$18,MATCH(F44,Chart_of_Accounts!$A$2:$A$18,0)),"")</f>
        <v>Labor</v>
      </c>
      <c r="H44" s="7" t="str">
        <f>IFERROR(INDEX(Chart_of_Accounts!$C$2:$C$18,MATCH(F44,Chart_of_Accounts!$A$2:$A$18,0)),"")</f>
        <v>Expense</v>
      </c>
      <c r="I44" s="9">
        <v>31720</v>
      </c>
      <c r="J44" s="9"/>
      <c r="K44" s="7" t="s">
        <v>151</v>
      </c>
      <c r="L44" s="7" t="s">
        <v>32</v>
      </c>
      <c r="M44" s="7" t="s">
        <v>114</v>
      </c>
      <c r="N44" s="7"/>
      <c r="O44" s="7"/>
      <c r="P44" s="7" t="s">
        <v>152</v>
      </c>
    </row>
    <row r="45" spans="1:16" x14ac:dyDescent="0.25">
      <c r="A45" s="7">
        <v>22</v>
      </c>
      <c r="B45" s="7" t="s">
        <v>150</v>
      </c>
      <c r="C45" s="8">
        <v>46037</v>
      </c>
      <c r="D45" s="7" t="s">
        <v>74</v>
      </c>
      <c r="E45" s="7" t="str">
        <f>IFERROR(INDEX(Restaurants!$B$2:$B$6,MATCH(D45,Restaurants!$A$2:$A$6,0)),"")</f>
        <v>Trailhead Burger Co. #101 - San Antonio, TX</v>
      </c>
      <c r="F45" s="7" t="s">
        <v>31</v>
      </c>
      <c r="G45" s="7" t="str">
        <f>IFERROR(INDEX(Chart_of_Accounts!$B$2:$B$18,MATCH(F45,Chart_of_Accounts!$A$2:$A$18,0)),"")</f>
        <v>Cash</v>
      </c>
      <c r="H45" s="7" t="str">
        <f>IFERROR(INDEX(Chart_of_Accounts!$C$2:$C$18,MATCH(F45,Chart_of_Accounts!$A$2:$A$18,0)),"")</f>
        <v>Asset</v>
      </c>
      <c r="I45" s="9"/>
      <c r="J45" s="9">
        <v>31720</v>
      </c>
      <c r="K45" s="7" t="s">
        <v>151</v>
      </c>
      <c r="L45" s="7" t="s">
        <v>32</v>
      </c>
      <c r="M45" s="7" t="s">
        <v>114</v>
      </c>
      <c r="N45" s="7"/>
      <c r="O45" s="7"/>
      <c r="P45" s="7" t="s">
        <v>152</v>
      </c>
    </row>
    <row r="46" spans="1:16" x14ac:dyDescent="0.25">
      <c r="A46" s="7">
        <v>23</v>
      </c>
      <c r="B46" s="7" t="s">
        <v>153</v>
      </c>
      <c r="C46" s="8">
        <v>46023</v>
      </c>
      <c r="D46" s="7" t="s">
        <v>74</v>
      </c>
      <c r="E46" s="7" t="str">
        <f>IFERROR(INDEX(Restaurants!$B$2:$B$6,MATCH(D46,Restaurants!$A$2:$A$6,0)),"")</f>
        <v>Trailhead Burger Co. #101 - San Antonio, TX</v>
      </c>
      <c r="F46" s="7" t="s">
        <v>60</v>
      </c>
      <c r="G46" s="7" t="str">
        <f>IFERROR(INDEX(Chart_of_Accounts!$B$2:$B$18,MATCH(F46,Chart_of_Accounts!$A$2:$A$18,0)),"")</f>
        <v>Rent</v>
      </c>
      <c r="H46" s="7" t="str">
        <f>IFERROR(INDEX(Chart_of_Accounts!$C$2:$C$18,MATCH(F46,Chart_of_Accounts!$A$2:$A$18,0)),"")</f>
        <v>Expense</v>
      </c>
      <c r="I46" s="9">
        <v>9500</v>
      </c>
      <c r="J46" s="9"/>
      <c r="K46" s="7" t="s">
        <v>154</v>
      </c>
      <c r="L46" s="7" t="s">
        <v>32</v>
      </c>
      <c r="M46" s="7" t="s">
        <v>114</v>
      </c>
      <c r="N46" s="7" t="s">
        <v>98</v>
      </c>
      <c r="O46" s="7" t="str">
        <f>IFERROR(INDEX(Vendors!$B$2:$B$10,MATCH(N46,Vendors!$A$2:$A$10,0)),"")</f>
        <v>Prime Property Management</v>
      </c>
      <c r="P46" s="7" t="s">
        <v>115</v>
      </c>
    </row>
    <row r="47" spans="1:16" x14ac:dyDescent="0.25">
      <c r="A47" s="7">
        <v>23</v>
      </c>
      <c r="B47" s="7" t="s">
        <v>153</v>
      </c>
      <c r="C47" s="8">
        <v>46023</v>
      </c>
      <c r="D47" s="7" t="s">
        <v>74</v>
      </c>
      <c r="E47" s="7" t="str">
        <f>IFERROR(INDEX(Restaurants!$B$2:$B$6,MATCH(D47,Restaurants!$A$2:$A$6,0)),"")</f>
        <v>Trailhead Burger Co. #101 - San Antonio, TX</v>
      </c>
      <c r="F47" s="7" t="s">
        <v>31</v>
      </c>
      <c r="G47" s="7" t="str">
        <f>IFERROR(INDEX(Chart_of_Accounts!$B$2:$B$18,MATCH(F47,Chart_of_Accounts!$A$2:$A$18,0)),"")</f>
        <v>Cash</v>
      </c>
      <c r="H47" s="7" t="str">
        <f>IFERROR(INDEX(Chart_of_Accounts!$C$2:$C$18,MATCH(F47,Chart_of_Accounts!$A$2:$A$18,0)),"")</f>
        <v>Asset</v>
      </c>
      <c r="I47" s="9"/>
      <c r="J47" s="9">
        <v>9500</v>
      </c>
      <c r="K47" s="7" t="s">
        <v>154</v>
      </c>
      <c r="L47" s="7" t="s">
        <v>32</v>
      </c>
      <c r="M47" s="7" t="s">
        <v>114</v>
      </c>
      <c r="N47" s="7" t="s">
        <v>98</v>
      </c>
      <c r="O47" s="7" t="str">
        <f>IFERROR(INDEX(Vendors!$B$2:$B$10,MATCH(N47,Vendors!$A$2:$A$10,0)),"")</f>
        <v>Prime Property Management</v>
      </c>
      <c r="P47" s="7" t="s">
        <v>115</v>
      </c>
    </row>
    <row r="48" spans="1:16" x14ac:dyDescent="0.25">
      <c r="A48" s="7">
        <v>24</v>
      </c>
      <c r="B48" s="7" t="s">
        <v>155</v>
      </c>
      <c r="C48" s="8">
        <v>46042</v>
      </c>
      <c r="D48" s="7" t="s">
        <v>74</v>
      </c>
      <c r="E48" s="7" t="str">
        <f>IFERROR(INDEX(Restaurants!$B$2:$B$6,MATCH(D48,Restaurants!$A$2:$A$6,0)),"")</f>
        <v>Trailhead Burger Co. #101 - San Antonio, TX</v>
      </c>
      <c r="F48" s="7" t="s">
        <v>62</v>
      </c>
      <c r="G48" s="7" t="str">
        <f>IFERROR(INDEX(Chart_of_Accounts!$B$2:$B$18,MATCH(F48,Chart_of_Accounts!$A$2:$A$18,0)),"")</f>
        <v>Utilities</v>
      </c>
      <c r="H48" s="7" t="str">
        <f>IFERROR(INDEX(Chart_of_Accounts!$C$2:$C$18,MATCH(F48,Chart_of_Accounts!$A$2:$A$18,0)),"")</f>
        <v>Expense</v>
      </c>
      <c r="I48" s="9">
        <v>2600</v>
      </c>
      <c r="J48" s="9"/>
      <c r="K48" s="7" t="s">
        <v>156</v>
      </c>
      <c r="L48" s="7" t="s">
        <v>32</v>
      </c>
      <c r="M48" s="7" t="s">
        <v>114</v>
      </c>
      <c r="N48" s="7" t="s">
        <v>96</v>
      </c>
      <c r="O48" s="7" t="str">
        <f>IFERROR(INDEX(Vendors!$B$2:$B$10,MATCH(N48,Vendors!$A$2:$A$10,0)),"")</f>
        <v>CityWide Utilities</v>
      </c>
      <c r="P48" s="7" t="s">
        <v>157</v>
      </c>
    </row>
    <row r="49" spans="1:16" x14ac:dyDescent="0.25">
      <c r="A49" s="7">
        <v>24</v>
      </c>
      <c r="B49" s="7" t="s">
        <v>155</v>
      </c>
      <c r="C49" s="8">
        <v>46042</v>
      </c>
      <c r="D49" s="7" t="s">
        <v>74</v>
      </c>
      <c r="E49" s="7" t="str">
        <f>IFERROR(INDEX(Restaurants!$B$2:$B$6,MATCH(D49,Restaurants!$A$2:$A$6,0)),"")</f>
        <v>Trailhead Burger Co. #101 - San Antonio, TX</v>
      </c>
      <c r="F49" s="7" t="s">
        <v>31</v>
      </c>
      <c r="G49" s="7" t="str">
        <f>IFERROR(INDEX(Chart_of_Accounts!$B$2:$B$18,MATCH(F49,Chart_of_Accounts!$A$2:$A$18,0)),"")</f>
        <v>Cash</v>
      </c>
      <c r="H49" s="7" t="str">
        <f>IFERROR(INDEX(Chart_of_Accounts!$C$2:$C$18,MATCH(F49,Chart_of_Accounts!$A$2:$A$18,0)),"")</f>
        <v>Asset</v>
      </c>
      <c r="I49" s="9"/>
      <c r="J49" s="9">
        <v>2600</v>
      </c>
      <c r="K49" s="7" t="s">
        <v>156</v>
      </c>
      <c r="L49" s="7" t="s">
        <v>32</v>
      </c>
      <c r="M49" s="7" t="s">
        <v>114</v>
      </c>
      <c r="N49" s="7" t="s">
        <v>96</v>
      </c>
      <c r="O49" s="7" t="str">
        <f>IFERROR(INDEX(Vendors!$B$2:$B$10,MATCH(N49,Vendors!$A$2:$A$10,0)),"")</f>
        <v>CityWide Utilities</v>
      </c>
      <c r="P49" s="7" t="s">
        <v>157</v>
      </c>
    </row>
    <row r="50" spans="1:16" x14ac:dyDescent="0.25">
      <c r="A50" s="7">
        <v>25</v>
      </c>
      <c r="B50" s="7" t="s">
        <v>158</v>
      </c>
      <c r="C50" s="8">
        <v>46050</v>
      </c>
      <c r="D50" s="7" t="s">
        <v>74</v>
      </c>
      <c r="E50" s="7" t="str">
        <f>IFERROR(INDEX(Restaurants!$B$2:$B$6,MATCH(D50,Restaurants!$A$2:$A$6,0)),"")</f>
        <v>Trailhead Burger Co. #101 - San Antonio, TX</v>
      </c>
      <c r="F50" s="7" t="s">
        <v>66</v>
      </c>
      <c r="G50" s="7" t="str">
        <f>IFERROR(INDEX(Chart_of_Accounts!$B$2:$B$18,MATCH(F50,Chart_of_Accounts!$A$2:$A$18,0)),"")</f>
        <v>CC Processing Fees</v>
      </c>
      <c r="H50" s="7" t="str">
        <f>IFERROR(INDEX(Chart_of_Accounts!$C$2:$C$18,MATCH(F50,Chart_of_Accounts!$A$2:$A$18,0)),"")</f>
        <v>Expense</v>
      </c>
      <c r="I50" s="9">
        <v>3050</v>
      </c>
      <c r="J50" s="9"/>
      <c r="K50" s="7" t="s">
        <v>159</v>
      </c>
      <c r="L50" s="7" t="s">
        <v>32</v>
      </c>
      <c r="M50" s="7" t="s">
        <v>114</v>
      </c>
      <c r="N50" s="7"/>
      <c r="O50" s="7"/>
      <c r="P50" s="7" t="s">
        <v>115</v>
      </c>
    </row>
    <row r="51" spans="1:16" x14ac:dyDescent="0.25">
      <c r="A51" s="7">
        <v>25</v>
      </c>
      <c r="B51" s="7" t="s">
        <v>158</v>
      </c>
      <c r="C51" s="8">
        <v>46050</v>
      </c>
      <c r="D51" s="7" t="s">
        <v>74</v>
      </c>
      <c r="E51" s="7" t="str">
        <f>IFERROR(INDEX(Restaurants!$B$2:$B$6,MATCH(D51,Restaurants!$A$2:$A$6,0)),"")</f>
        <v>Trailhead Burger Co. #101 - San Antonio, TX</v>
      </c>
      <c r="F51" s="7" t="s">
        <v>31</v>
      </c>
      <c r="G51" s="7" t="str">
        <f>IFERROR(INDEX(Chart_of_Accounts!$B$2:$B$18,MATCH(F51,Chart_of_Accounts!$A$2:$A$18,0)),"")</f>
        <v>Cash</v>
      </c>
      <c r="H51" s="7" t="str">
        <f>IFERROR(INDEX(Chart_of_Accounts!$C$2:$C$18,MATCH(F51,Chart_of_Accounts!$A$2:$A$18,0)),"")</f>
        <v>Asset</v>
      </c>
      <c r="I51" s="9"/>
      <c r="J51" s="9">
        <v>3050</v>
      </c>
      <c r="K51" s="7" t="s">
        <v>159</v>
      </c>
      <c r="L51" s="7" t="s">
        <v>32</v>
      </c>
      <c r="M51" s="7" t="s">
        <v>114</v>
      </c>
      <c r="N51" s="7"/>
      <c r="O51" s="7"/>
      <c r="P51" s="7" t="s">
        <v>115</v>
      </c>
    </row>
    <row r="52" spans="1:16" x14ac:dyDescent="0.25">
      <c r="A52" s="7">
        <v>26</v>
      </c>
      <c r="B52" s="7" t="s">
        <v>160</v>
      </c>
      <c r="C52" s="8">
        <v>46034</v>
      </c>
      <c r="D52" s="7" t="s">
        <v>74</v>
      </c>
      <c r="E52" s="7" t="str">
        <f>IFERROR(INDEX(Restaurants!$B$2:$B$6,MATCH(D52,Restaurants!$A$2:$A$6,0)),"")</f>
        <v>Trailhead Burger Co. #101 - San Antonio, TX</v>
      </c>
      <c r="F52" s="7" t="s">
        <v>68</v>
      </c>
      <c r="G52" s="7" t="str">
        <f>IFERROR(INDEX(Chart_of_Accounts!$B$2:$B$18,MATCH(F52,Chart_of_Accounts!$A$2:$A$18,0)),"")</f>
        <v>Marketing</v>
      </c>
      <c r="H52" s="7" t="str">
        <f>IFERROR(INDEX(Chart_of_Accounts!$C$2:$C$18,MATCH(F52,Chart_of_Accounts!$A$2:$A$18,0)),"")</f>
        <v>Expense</v>
      </c>
      <c r="I52" s="9">
        <v>3660</v>
      </c>
      <c r="J52" s="9"/>
      <c r="K52" s="7" t="s">
        <v>161</v>
      </c>
      <c r="L52" s="7" t="s">
        <v>32</v>
      </c>
      <c r="M52" s="7" t="s">
        <v>114</v>
      </c>
      <c r="N52" s="7" t="s">
        <v>100</v>
      </c>
      <c r="O52" s="7" t="str">
        <f>IFERROR(INDEX(Vendors!$B$2:$B$10,MATCH(N52,Vendors!$A$2:$A$10,0)),"")</f>
        <v>BrightSign Marketing Agency</v>
      </c>
      <c r="P52" s="7" t="s">
        <v>69</v>
      </c>
    </row>
    <row r="53" spans="1:16" x14ac:dyDescent="0.25">
      <c r="A53" s="7">
        <v>26</v>
      </c>
      <c r="B53" s="7" t="s">
        <v>160</v>
      </c>
      <c r="C53" s="8">
        <v>46034</v>
      </c>
      <c r="D53" s="7" t="s">
        <v>74</v>
      </c>
      <c r="E53" s="7" t="str">
        <f>IFERROR(INDEX(Restaurants!$B$2:$B$6,MATCH(D53,Restaurants!$A$2:$A$6,0)),"")</f>
        <v>Trailhead Burger Co. #101 - San Antonio, TX</v>
      </c>
      <c r="F53" s="7" t="s">
        <v>31</v>
      </c>
      <c r="G53" s="7" t="str">
        <f>IFERROR(INDEX(Chart_of_Accounts!$B$2:$B$18,MATCH(F53,Chart_of_Accounts!$A$2:$A$18,0)),"")</f>
        <v>Cash</v>
      </c>
      <c r="H53" s="7" t="str">
        <f>IFERROR(INDEX(Chart_of_Accounts!$C$2:$C$18,MATCH(F53,Chart_of_Accounts!$A$2:$A$18,0)),"")</f>
        <v>Asset</v>
      </c>
      <c r="I53" s="9"/>
      <c r="J53" s="9">
        <v>3660</v>
      </c>
      <c r="K53" s="7" t="s">
        <v>161</v>
      </c>
      <c r="L53" s="7" t="s">
        <v>32</v>
      </c>
      <c r="M53" s="7" t="s">
        <v>114</v>
      </c>
      <c r="N53" s="7" t="s">
        <v>100</v>
      </c>
      <c r="O53" s="7" t="str">
        <f>IFERROR(INDEX(Vendors!$B$2:$B$10,MATCH(N53,Vendors!$A$2:$A$10,0)),"")</f>
        <v>BrightSign Marketing Agency</v>
      </c>
      <c r="P53" s="7" t="s">
        <v>69</v>
      </c>
    </row>
    <row r="54" spans="1:16" x14ac:dyDescent="0.25">
      <c r="A54" s="7">
        <v>27</v>
      </c>
      <c r="B54" s="7" t="s">
        <v>162</v>
      </c>
      <c r="C54" s="8">
        <v>46052</v>
      </c>
      <c r="D54" s="7" t="s">
        <v>74</v>
      </c>
      <c r="E54" s="7" t="str">
        <f>IFERROR(INDEX(Restaurants!$B$2:$B$6,MATCH(D54,Restaurants!$A$2:$A$6,0)),"")</f>
        <v>Trailhead Burger Co. #101 - San Antonio, TX</v>
      </c>
      <c r="F54" s="7" t="s">
        <v>70</v>
      </c>
      <c r="G54" s="7" t="str">
        <f>IFERROR(INDEX(Chart_of_Accounts!$B$2:$B$18,MATCH(F54,Chart_of_Accounts!$A$2:$A$18,0)),"")</f>
        <v>Franchise Fees</v>
      </c>
      <c r="H54" s="7" t="str">
        <f>IFERROR(INDEX(Chart_of_Accounts!$C$2:$C$18,MATCH(F54,Chart_of_Accounts!$A$2:$A$18,0)),"")</f>
        <v>Expense</v>
      </c>
      <c r="I54" s="9">
        <v>4880</v>
      </c>
      <c r="J54" s="9"/>
      <c r="K54" s="7" t="s">
        <v>163</v>
      </c>
      <c r="L54" s="7" t="s">
        <v>32</v>
      </c>
      <c r="M54" s="7" t="s">
        <v>114</v>
      </c>
      <c r="N54" s="7" t="s">
        <v>102</v>
      </c>
      <c r="O54" s="7" t="str">
        <f>IFERROR(INDEX(Vendors!$B$2:$B$10,MATCH(N54,Vendors!$A$2:$A$10,0)),"")</f>
        <v>Trailhead Burger Co. - Corporate</v>
      </c>
      <c r="P54" s="7" t="s">
        <v>115</v>
      </c>
    </row>
    <row r="55" spans="1:16" x14ac:dyDescent="0.25">
      <c r="A55" s="7">
        <v>27</v>
      </c>
      <c r="B55" s="7" t="s">
        <v>162</v>
      </c>
      <c r="C55" s="8">
        <v>46052</v>
      </c>
      <c r="D55" s="7" t="s">
        <v>74</v>
      </c>
      <c r="E55" s="7" t="str">
        <f>IFERROR(INDEX(Restaurants!$B$2:$B$6,MATCH(D55,Restaurants!$A$2:$A$6,0)),"")</f>
        <v>Trailhead Burger Co. #101 - San Antonio, TX</v>
      </c>
      <c r="F55" s="7" t="s">
        <v>31</v>
      </c>
      <c r="G55" s="7" t="str">
        <f>IFERROR(INDEX(Chart_of_Accounts!$B$2:$B$18,MATCH(F55,Chart_of_Accounts!$A$2:$A$18,0)),"")</f>
        <v>Cash</v>
      </c>
      <c r="H55" s="7" t="str">
        <f>IFERROR(INDEX(Chart_of_Accounts!$C$2:$C$18,MATCH(F55,Chart_of_Accounts!$A$2:$A$18,0)),"")</f>
        <v>Asset</v>
      </c>
      <c r="I55" s="9"/>
      <c r="J55" s="9">
        <v>4880</v>
      </c>
      <c r="K55" s="7" t="s">
        <v>163</v>
      </c>
      <c r="L55" s="7" t="s">
        <v>32</v>
      </c>
      <c r="M55" s="7" t="s">
        <v>114</v>
      </c>
      <c r="N55" s="7" t="s">
        <v>102</v>
      </c>
      <c r="O55" s="7" t="str">
        <f>IFERROR(INDEX(Vendors!$B$2:$B$10,MATCH(N55,Vendors!$A$2:$A$10,0)),"")</f>
        <v>Trailhead Burger Co. - Corporate</v>
      </c>
      <c r="P55" s="7" t="s">
        <v>115</v>
      </c>
    </row>
    <row r="56" spans="1:16" x14ac:dyDescent="0.25">
      <c r="A56" s="7">
        <v>28</v>
      </c>
      <c r="B56" s="7" t="s">
        <v>164</v>
      </c>
      <c r="C56" s="8">
        <v>46058</v>
      </c>
      <c r="D56" s="7" t="s">
        <v>74</v>
      </c>
      <c r="E56" s="7" t="str">
        <f>IFERROR(INDEX(Restaurants!$B$2:$B$6,MATCH(D56,Restaurants!$A$2:$A$6,0)),"")</f>
        <v>Trailhead Burger Co. #101 - San Antonio, TX</v>
      </c>
      <c r="F56" s="7" t="s">
        <v>31</v>
      </c>
      <c r="G56" s="7" t="str">
        <f>IFERROR(INDEX(Chart_of_Accounts!$B$2:$B$18,MATCH(F56,Chart_of_Accounts!$A$2:$A$18,0)),"")</f>
        <v>Cash</v>
      </c>
      <c r="H56" s="7" t="str">
        <f>IFERROR(INDEX(Chart_of_Accounts!$C$2:$C$18,MATCH(F56,Chart_of_Accounts!$A$2:$A$18,0)),"")</f>
        <v>Asset</v>
      </c>
      <c r="I56" s="9">
        <v>102000</v>
      </c>
      <c r="J56" s="9"/>
      <c r="K56" s="7" t="s">
        <v>134</v>
      </c>
      <c r="L56" s="7" t="s">
        <v>32</v>
      </c>
      <c r="M56" s="7" t="s">
        <v>135</v>
      </c>
      <c r="N56" s="7"/>
      <c r="O56" s="7"/>
      <c r="P56" s="7" t="s">
        <v>136</v>
      </c>
    </row>
    <row r="57" spans="1:16" x14ac:dyDescent="0.25">
      <c r="A57" s="7">
        <v>28</v>
      </c>
      <c r="B57" s="7" t="s">
        <v>164</v>
      </c>
      <c r="C57" s="8">
        <v>46058</v>
      </c>
      <c r="D57" s="7" t="s">
        <v>74</v>
      </c>
      <c r="E57" s="7" t="str">
        <f>IFERROR(INDEX(Restaurants!$B$2:$B$6,MATCH(D57,Restaurants!$A$2:$A$6,0)),"")</f>
        <v>Trailhead Burger Co. #101 - San Antonio, TX</v>
      </c>
      <c r="F57" s="7" t="s">
        <v>50</v>
      </c>
      <c r="G57" s="7" t="str">
        <f>IFERROR(INDEX(Chart_of_Accounts!$B$2:$B$18,MATCH(F57,Chart_of_Accounts!$A$2:$A$18,0)),"")</f>
        <v>Restaurant Sales</v>
      </c>
      <c r="H57" s="7" t="str">
        <f>IFERROR(INDEX(Chart_of_Accounts!$C$2:$C$18,MATCH(F57,Chart_of_Accounts!$A$2:$A$18,0)),"")</f>
        <v>Revenue</v>
      </c>
      <c r="I57" s="9"/>
      <c r="J57" s="9">
        <v>102000</v>
      </c>
      <c r="K57" s="7" t="s">
        <v>134</v>
      </c>
      <c r="L57" s="7" t="s">
        <v>32</v>
      </c>
      <c r="M57" s="7" t="s">
        <v>135</v>
      </c>
      <c r="N57" s="7"/>
      <c r="O57" s="7"/>
      <c r="P57" s="7" t="s">
        <v>136</v>
      </c>
    </row>
    <row r="58" spans="1:16" x14ac:dyDescent="0.25">
      <c r="A58" s="7">
        <v>29</v>
      </c>
      <c r="B58" s="7" t="s">
        <v>165</v>
      </c>
      <c r="C58" s="8">
        <v>46060</v>
      </c>
      <c r="D58" s="7" t="s">
        <v>74</v>
      </c>
      <c r="E58" s="7" t="str">
        <f>IFERROR(INDEX(Restaurants!$B$2:$B$6,MATCH(D58,Restaurants!$A$2:$A$6,0)),"")</f>
        <v>Trailhead Burger Co. #101 - San Antonio, TX</v>
      </c>
      <c r="F58" s="7" t="s">
        <v>35</v>
      </c>
      <c r="G58" s="7" t="str">
        <f>IFERROR(INDEX(Chart_of_Accounts!$B$2:$B$18,MATCH(F58,Chart_of_Accounts!$A$2:$A$18,0)),"")</f>
        <v>Accounts Receivable</v>
      </c>
      <c r="H58" s="7" t="str">
        <f>IFERROR(INDEX(Chart_of_Accounts!$C$2:$C$18,MATCH(F58,Chart_of_Accounts!$A$2:$A$18,0)),"")</f>
        <v>Asset</v>
      </c>
      <c r="I58" s="9">
        <v>22440</v>
      </c>
      <c r="J58" s="9"/>
      <c r="K58" s="7" t="s">
        <v>138</v>
      </c>
      <c r="L58" s="7" t="s">
        <v>139</v>
      </c>
      <c r="M58" s="7" t="s">
        <v>140</v>
      </c>
      <c r="N58" s="7" t="s">
        <v>94</v>
      </c>
      <c r="O58" s="7" t="str">
        <f>IFERROR(INDEX(Vendors!$B$2:$B$10,MATCH(N58,Vendors!$A$2:$A$10,0)),"")</f>
        <v>QuickDash Delivery Platform</v>
      </c>
      <c r="P58" s="7" t="s">
        <v>136</v>
      </c>
    </row>
    <row r="59" spans="1:16" x14ac:dyDescent="0.25">
      <c r="A59" s="7">
        <v>29</v>
      </c>
      <c r="B59" s="7" t="s">
        <v>165</v>
      </c>
      <c r="C59" s="8">
        <v>46060</v>
      </c>
      <c r="D59" s="7" t="s">
        <v>74</v>
      </c>
      <c r="E59" s="7" t="str">
        <f>IFERROR(INDEX(Restaurants!$B$2:$B$6,MATCH(D59,Restaurants!$A$2:$A$6,0)),"")</f>
        <v>Trailhead Burger Co. #101 - San Antonio, TX</v>
      </c>
      <c r="F59" s="7" t="s">
        <v>53</v>
      </c>
      <c r="G59" s="7" t="str">
        <f>IFERROR(INDEX(Chart_of_Accounts!$B$2:$B$18,MATCH(F59,Chart_of_Accounts!$A$2:$A$18,0)),"")</f>
        <v>Delivery Sales</v>
      </c>
      <c r="H59" s="7" t="str">
        <f>IFERROR(INDEX(Chart_of_Accounts!$C$2:$C$18,MATCH(F59,Chart_of_Accounts!$A$2:$A$18,0)),"")</f>
        <v>Revenue</v>
      </c>
      <c r="I59" s="9"/>
      <c r="J59" s="9">
        <v>22440</v>
      </c>
      <c r="K59" s="7" t="s">
        <v>138</v>
      </c>
      <c r="L59" s="7" t="s">
        <v>139</v>
      </c>
      <c r="M59" s="7" t="s">
        <v>140</v>
      </c>
      <c r="N59" s="7" t="s">
        <v>94</v>
      </c>
      <c r="O59" s="7" t="str">
        <f>IFERROR(INDEX(Vendors!$B$2:$B$10,MATCH(N59,Vendors!$A$2:$A$10,0)),"")</f>
        <v>QuickDash Delivery Platform</v>
      </c>
      <c r="P59" s="7" t="s">
        <v>136</v>
      </c>
    </row>
    <row r="60" spans="1:16" x14ac:dyDescent="0.25">
      <c r="A60" s="7">
        <v>30</v>
      </c>
      <c r="B60" s="7" t="s">
        <v>166</v>
      </c>
      <c r="C60" s="8">
        <v>46063</v>
      </c>
      <c r="D60" s="7" t="s">
        <v>74</v>
      </c>
      <c r="E60" s="7" t="str">
        <f>IFERROR(INDEX(Restaurants!$B$2:$B$6,MATCH(D60,Restaurants!$A$2:$A$6,0)),"")</f>
        <v>Trailhead Burger Co. #101 - San Antonio, TX</v>
      </c>
      <c r="F60" s="7" t="s">
        <v>31</v>
      </c>
      <c r="G60" s="7" t="str">
        <f>IFERROR(INDEX(Chart_of_Accounts!$B$2:$B$18,MATCH(F60,Chart_of_Accounts!$A$2:$A$18,0)),"")</f>
        <v>Cash</v>
      </c>
      <c r="H60" s="7" t="str">
        <f>IFERROR(INDEX(Chart_of_Accounts!$C$2:$C$18,MATCH(F60,Chart_of_Accounts!$A$2:$A$18,0)),"")</f>
        <v>Asset</v>
      </c>
      <c r="I60" s="9">
        <v>22440</v>
      </c>
      <c r="J60" s="9"/>
      <c r="K60" s="7" t="s">
        <v>142</v>
      </c>
      <c r="L60" s="7" t="s">
        <v>139</v>
      </c>
      <c r="M60" s="7" t="s">
        <v>140</v>
      </c>
      <c r="N60" s="7" t="s">
        <v>94</v>
      </c>
      <c r="O60" s="7" t="str">
        <f>IFERROR(INDEX(Vendors!$B$2:$B$10,MATCH(N60,Vendors!$A$2:$A$10,0)),"")</f>
        <v>QuickDash Delivery Platform</v>
      </c>
      <c r="P60" s="7" t="s">
        <v>136</v>
      </c>
    </row>
    <row r="61" spans="1:16" x14ac:dyDescent="0.25">
      <c r="A61" s="7">
        <v>30</v>
      </c>
      <c r="B61" s="7" t="s">
        <v>166</v>
      </c>
      <c r="C61" s="8">
        <v>46063</v>
      </c>
      <c r="D61" s="7" t="s">
        <v>74</v>
      </c>
      <c r="E61" s="7" t="str">
        <f>IFERROR(INDEX(Restaurants!$B$2:$B$6,MATCH(D61,Restaurants!$A$2:$A$6,0)),"")</f>
        <v>Trailhead Burger Co. #101 - San Antonio, TX</v>
      </c>
      <c r="F61" s="7" t="s">
        <v>35</v>
      </c>
      <c r="G61" s="7" t="str">
        <f>IFERROR(INDEX(Chart_of_Accounts!$B$2:$B$18,MATCH(F61,Chart_of_Accounts!$A$2:$A$18,0)),"")</f>
        <v>Accounts Receivable</v>
      </c>
      <c r="H61" s="7" t="str">
        <f>IFERROR(INDEX(Chart_of_Accounts!$C$2:$C$18,MATCH(F61,Chart_of_Accounts!$A$2:$A$18,0)),"")</f>
        <v>Asset</v>
      </c>
      <c r="I61" s="9"/>
      <c r="J61" s="9">
        <v>22440</v>
      </c>
      <c r="K61" s="7" t="s">
        <v>142</v>
      </c>
      <c r="L61" s="7" t="s">
        <v>139</v>
      </c>
      <c r="M61" s="7" t="s">
        <v>140</v>
      </c>
      <c r="N61" s="7" t="s">
        <v>94</v>
      </c>
      <c r="O61" s="7" t="str">
        <f>IFERROR(INDEX(Vendors!$B$2:$B$10,MATCH(N61,Vendors!$A$2:$A$10,0)),"")</f>
        <v>QuickDash Delivery Platform</v>
      </c>
      <c r="P61" s="7" t="s">
        <v>136</v>
      </c>
    </row>
    <row r="62" spans="1:16" x14ac:dyDescent="0.25">
      <c r="A62" s="7">
        <v>31</v>
      </c>
      <c r="B62" s="7" t="s">
        <v>167</v>
      </c>
      <c r="C62" s="8">
        <v>46063</v>
      </c>
      <c r="D62" s="7" t="s">
        <v>74</v>
      </c>
      <c r="E62" s="7" t="str">
        <f>IFERROR(INDEX(Restaurants!$B$2:$B$6,MATCH(D62,Restaurants!$A$2:$A$6,0)),"")</f>
        <v>Trailhead Burger Co. #101 - San Antonio, TX</v>
      </c>
      <c r="F62" s="7" t="s">
        <v>64</v>
      </c>
      <c r="G62" s="7" t="str">
        <f>IFERROR(INDEX(Chart_of_Accounts!$B$2:$B$18,MATCH(F62,Chart_of_Accounts!$A$2:$A$18,0)),"")</f>
        <v>Delivery Fees</v>
      </c>
      <c r="H62" s="7" t="str">
        <f>IFERROR(INDEX(Chart_of_Accounts!$C$2:$C$18,MATCH(F62,Chart_of_Accounts!$A$2:$A$18,0)),"")</f>
        <v>Expense</v>
      </c>
      <c r="I62" s="9">
        <v>3366</v>
      </c>
      <c r="J62" s="9"/>
      <c r="K62" s="7" t="s">
        <v>144</v>
      </c>
      <c r="L62" s="7" t="s">
        <v>32</v>
      </c>
      <c r="M62" s="7" t="s">
        <v>140</v>
      </c>
      <c r="N62" s="7" t="s">
        <v>94</v>
      </c>
      <c r="O62" s="7" t="str">
        <f>IFERROR(INDEX(Vendors!$B$2:$B$10,MATCH(N62,Vendors!$A$2:$A$10,0)),"")</f>
        <v>QuickDash Delivery Platform</v>
      </c>
      <c r="P62" s="7" t="s">
        <v>136</v>
      </c>
    </row>
    <row r="63" spans="1:16" x14ac:dyDescent="0.25">
      <c r="A63" s="7">
        <v>31</v>
      </c>
      <c r="B63" s="7" t="s">
        <v>167</v>
      </c>
      <c r="C63" s="8">
        <v>46063</v>
      </c>
      <c r="D63" s="7" t="s">
        <v>74</v>
      </c>
      <c r="E63" s="7" t="str">
        <f>IFERROR(INDEX(Restaurants!$B$2:$B$6,MATCH(D63,Restaurants!$A$2:$A$6,0)),"")</f>
        <v>Trailhead Burger Co. #101 - San Antonio, TX</v>
      </c>
      <c r="F63" s="7" t="s">
        <v>31</v>
      </c>
      <c r="G63" s="7" t="str">
        <f>IFERROR(INDEX(Chart_of_Accounts!$B$2:$B$18,MATCH(F63,Chart_of_Accounts!$A$2:$A$18,0)),"")</f>
        <v>Cash</v>
      </c>
      <c r="H63" s="7" t="str">
        <f>IFERROR(INDEX(Chart_of_Accounts!$C$2:$C$18,MATCH(F63,Chart_of_Accounts!$A$2:$A$18,0)),"")</f>
        <v>Asset</v>
      </c>
      <c r="I63" s="9"/>
      <c r="J63" s="9">
        <v>3366</v>
      </c>
      <c r="K63" s="7" t="s">
        <v>144</v>
      </c>
      <c r="L63" s="7" t="s">
        <v>32</v>
      </c>
      <c r="M63" s="7" t="s">
        <v>140</v>
      </c>
      <c r="N63" s="7" t="s">
        <v>94</v>
      </c>
      <c r="O63" s="7" t="str">
        <f>IFERROR(INDEX(Vendors!$B$2:$B$10,MATCH(N63,Vendors!$A$2:$A$10,0)),"")</f>
        <v>QuickDash Delivery Platform</v>
      </c>
      <c r="P63" s="7" t="s">
        <v>136</v>
      </c>
    </row>
    <row r="64" spans="1:16" x14ac:dyDescent="0.25">
      <c r="A64" s="7">
        <v>32</v>
      </c>
      <c r="B64" s="7" t="s">
        <v>168</v>
      </c>
      <c r="C64" s="8">
        <v>46061</v>
      </c>
      <c r="D64" s="7" t="s">
        <v>74</v>
      </c>
      <c r="E64" s="7" t="str">
        <f>IFERROR(INDEX(Restaurants!$B$2:$B$6,MATCH(D64,Restaurants!$A$2:$A$6,0)),"")</f>
        <v>Trailhead Burger Co. #101 - San Antonio, TX</v>
      </c>
      <c r="F64" s="7" t="s">
        <v>37</v>
      </c>
      <c r="G64" s="7" t="str">
        <f>IFERROR(INDEX(Chart_of_Accounts!$B$2:$B$18,MATCH(F64,Chart_of_Accounts!$A$2:$A$18,0)),"")</f>
        <v>Inventory</v>
      </c>
      <c r="H64" s="7" t="str">
        <f>IFERROR(INDEX(Chart_of_Accounts!$C$2:$C$18,MATCH(F64,Chart_of_Accounts!$A$2:$A$18,0)),"")</f>
        <v>Asset</v>
      </c>
      <c r="I64" s="9">
        <v>39198.6</v>
      </c>
      <c r="J64" s="9"/>
      <c r="K64" s="7" t="s">
        <v>146</v>
      </c>
      <c r="L64" s="7" t="s">
        <v>113</v>
      </c>
      <c r="M64" s="7" t="s">
        <v>114</v>
      </c>
      <c r="N64" s="7" t="s">
        <v>88</v>
      </c>
      <c r="O64" s="7" t="str">
        <f>IFERROR(INDEX(Vendors!$B$2:$B$10,MATCH(N64,Vendors!$A$2:$A$10,0)),"")</f>
        <v>Fresh Produce Partners</v>
      </c>
      <c r="P64" s="7" t="s">
        <v>147</v>
      </c>
    </row>
    <row r="65" spans="1:16" x14ac:dyDescent="0.25">
      <c r="A65" s="7">
        <v>32</v>
      </c>
      <c r="B65" s="7" t="s">
        <v>168</v>
      </c>
      <c r="C65" s="8">
        <v>46061</v>
      </c>
      <c r="D65" s="7" t="s">
        <v>74</v>
      </c>
      <c r="E65" s="7" t="str">
        <f>IFERROR(INDEX(Restaurants!$B$2:$B$6,MATCH(D65,Restaurants!$A$2:$A$6,0)),"")</f>
        <v>Trailhead Burger Co. #101 - San Antonio, TX</v>
      </c>
      <c r="F65" s="7" t="s">
        <v>41</v>
      </c>
      <c r="G65" s="7" t="str">
        <f>IFERROR(INDEX(Chart_of_Accounts!$B$2:$B$18,MATCH(F65,Chart_of_Accounts!$A$2:$A$18,0)),"")</f>
        <v>Accounts Payable</v>
      </c>
      <c r="H65" s="7" t="str">
        <f>IFERROR(INDEX(Chart_of_Accounts!$C$2:$C$18,MATCH(F65,Chart_of_Accounts!$A$2:$A$18,0)),"")</f>
        <v>Liability</v>
      </c>
      <c r="I65" s="9"/>
      <c r="J65" s="9">
        <v>39198.6</v>
      </c>
      <c r="K65" s="7" t="s">
        <v>146</v>
      </c>
      <c r="L65" s="7" t="s">
        <v>113</v>
      </c>
      <c r="M65" s="7" t="s">
        <v>114</v>
      </c>
      <c r="N65" s="7" t="s">
        <v>88</v>
      </c>
      <c r="O65" s="7" t="str">
        <f>IFERROR(INDEX(Vendors!$B$2:$B$10,MATCH(N65,Vendors!$A$2:$A$10,0)),"")</f>
        <v>Fresh Produce Partners</v>
      </c>
      <c r="P65" s="7" t="s">
        <v>147</v>
      </c>
    </row>
    <row r="66" spans="1:16" x14ac:dyDescent="0.25">
      <c r="A66" s="7">
        <v>33</v>
      </c>
      <c r="B66" s="7" t="s">
        <v>169</v>
      </c>
      <c r="C66" s="8">
        <v>46081</v>
      </c>
      <c r="D66" s="7" t="s">
        <v>74</v>
      </c>
      <c r="E66" s="7" t="str">
        <f>IFERROR(INDEX(Restaurants!$B$2:$B$6,MATCH(D66,Restaurants!$A$2:$A$6,0)),"")</f>
        <v>Trailhead Burger Co. #101 - San Antonio, TX</v>
      </c>
      <c r="F66" s="7" t="s">
        <v>55</v>
      </c>
      <c r="G66" s="7" t="str">
        <f>IFERROR(INDEX(Chart_of_Accounts!$B$2:$B$18,MATCH(F66,Chart_of_Accounts!$A$2:$A$18,0)),"")</f>
        <v>Food Cost</v>
      </c>
      <c r="H66" s="7" t="str">
        <f>IFERROR(INDEX(Chart_of_Accounts!$C$2:$C$18,MATCH(F66,Chart_of_Accounts!$A$2:$A$18,0)),"")</f>
        <v>Expense</v>
      </c>
      <c r="I66" s="9">
        <v>37332</v>
      </c>
      <c r="J66" s="9"/>
      <c r="K66" s="7" t="s">
        <v>149</v>
      </c>
      <c r="L66" s="7" t="s">
        <v>113</v>
      </c>
      <c r="M66" s="7" t="s">
        <v>114</v>
      </c>
      <c r="N66" s="7" t="s">
        <v>88</v>
      </c>
      <c r="O66" s="7" t="str">
        <f>IFERROR(INDEX(Vendors!$B$2:$B$10,MATCH(N66,Vendors!$A$2:$A$10,0)),"")</f>
        <v>Fresh Produce Partners</v>
      </c>
      <c r="P66" s="7" t="s">
        <v>136</v>
      </c>
    </row>
    <row r="67" spans="1:16" x14ac:dyDescent="0.25">
      <c r="A67" s="7">
        <v>33</v>
      </c>
      <c r="B67" s="7" t="s">
        <v>169</v>
      </c>
      <c r="C67" s="8">
        <v>46081</v>
      </c>
      <c r="D67" s="7" t="s">
        <v>74</v>
      </c>
      <c r="E67" s="7" t="str">
        <f>IFERROR(INDEX(Restaurants!$B$2:$B$6,MATCH(D67,Restaurants!$A$2:$A$6,0)),"")</f>
        <v>Trailhead Burger Co. #101 - San Antonio, TX</v>
      </c>
      <c r="F67" s="7" t="s">
        <v>37</v>
      </c>
      <c r="G67" s="7" t="str">
        <f>IFERROR(INDEX(Chart_of_Accounts!$B$2:$B$18,MATCH(F67,Chart_of_Accounts!$A$2:$A$18,0)),"")</f>
        <v>Inventory</v>
      </c>
      <c r="H67" s="7" t="str">
        <f>IFERROR(INDEX(Chart_of_Accounts!$C$2:$C$18,MATCH(F67,Chart_of_Accounts!$A$2:$A$18,0)),"")</f>
        <v>Asset</v>
      </c>
      <c r="I67" s="9"/>
      <c r="J67" s="9">
        <v>37332</v>
      </c>
      <c r="K67" s="7" t="s">
        <v>149</v>
      </c>
      <c r="L67" s="7" t="s">
        <v>113</v>
      </c>
      <c r="M67" s="7" t="s">
        <v>114</v>
      </c>
      <c r="N67" s="7" t="s">
        <v>88</v>
      </c>
      <c r="O67" s="7" t="str">
        <f>IFERROR(INDEX(Vendors!$B$2:$B$10,MATCH(N67,Vendors!$A$2:$A$10,0)),"")</f>
        <v>Fresh Produce Partners</v>
      </c>
      <c r="P67" s="7" t="s">
        <v>136</v>
      </c>
    </row>
    <row r="68" spans="1:16" x14ac:dyDescent="0.25">
      <c r="A68" s="7">
        <v>34</v>
      </c>
      <c r="B68" s="7" t="s">
        <v>170</v>
      </c>
      <c r="C68" s="8">
        <v>46068</v>
      </c>
      <c r="D68" s="7" t="s">
        <v>74</v>
      </c>
      <c r="E68" s="7" t="str">
        <f>IFERROR(INDEX(Restaurants!$B$2:$B$6,MATCH(D68,Restaurants!$A$2:$A$6,0)),"")</f>
        <v>Trailhead Burger Co. #101 - San Antonio, TX</v>
      </c>
      <c r="F68" s="7" t="s">
        <v>58</v>
      </c>
      <c r="G68" s="7" t="str">
        <f>IFERROR(INDEX(Chart_of_Accounts!$B$2:$B$18,MATCH(F68,Chart_of_Accounts!$A$2:$A$18,0)),"")</f>
        <v>Labor</v>
      </c>
      <c r="H68" s="7" t="str">
        <f>IFERROR(INDEX(Chart_of_Accounts!$C$2:$C$18,MATCH(F68,Chart_of_Accounts!$A$2:$A$18,0)),"")</f>
        <v>Expense</v>
      </c>
      <c r="I68" s="9">
        <v>32354.400000000001</v>
      </c>
      <c r="J68" s="9"/>
      <c r="K68" s="7" t="s">
        <v>151</v>
      </c>
      <c r="L68" s="7" t="s">
        <v>32</v>
      </c>
      <c r="M68" s="7" t="s">
        <v>114</v>
      </c>
      <c r="N68" s="7"/>
      <c r="O68" s="7"/>
      <c r="P68" s="7" t="s">
        <v>152</v>
      </c>
    </row>
    <row r="69" spans="1:16" x14ac:dyDescent="0.25">
      <c r="A69" s="7">
        <v>34</v>
      </c>
      <c r="B69" s="7" t="s">
        <v>170</v>
      </c>
      <c r="C69" s="8">
        <v>46068</v>
      </c>
      <c r="D69" s="7" t="s">
        <v>74</v>
      </c>
      <c r="E69" s="7" t="str">
        <f>IFERROR(INDEX(Restaurants!$B$2:$B$6,MATCH(D69,Restaurants!$A$2:$A$6,0)),"")</f>
        <v>Trailhead Burger Co. #101 - San Antonio, TX</v>
      </c>
      <c r="F69" s="7" t="s">
        <v>31</v>
      </c>
      <c r="G69" s="7" t="str">
        <f>IFERROR(INDEX(Chart_of_Accounts!$B$2:$B$18,MATCH(F69,Chart_of_Accounts!$A$2:$A$18,0)),"")</f>
        <v>Cash</v>
      </c>
      <c r="H69" s="7" t="str">
        <f>IFERROR(INDEX(Chart_of_Accounts!$C$2:$C$18,MATCH(F69,Chart_of_Accounts!$A$2:$A$18,0)),"")</f>
        <v>Asset</v>
      </c>
      <c r="I69" s="9"/>
      <c r="J69" s="9">
        <v>32354.400000000001</v>
      </c>
      <c r="K69" s="7" t="s">
        <v>151</v>
      </c>
      <c r="L69" s="7" t="s">
        <v>32</v>
      </c>
      <c r="M69" s="7" t="s">
        <v>114</v>
      </c>
      <c r="N69" s="7"/>
      <c r="O69" s="7"/>
      <c r="P69" s="7" t="s">
        <v>152</v>
      </c>
    </row>
    <row r="70" spans="1:16" x14ac:dyDescent="0.25">
      <c r="A70" s="7">
        <v>35</v>
      </c>
      <c r="B70" s="7" t="s">
        <v>171</v>
      </c>
      <c r="C70" s="8">
        <v>46054</v>
      </c>
      <c r="D70" s="7" t="s">
        <v>74</v>
      </c>
      <c r="E70" s="7" t="str">
        <f>IFERROR(INDEX(Restaurants!$B$2:$B$6,MATCH(D70,Restaurants!$A$2:$A$6,0)),"")</f>
        <v>Trailhead Burger Co. #101 - San Antonio, TX</v>
      </c>
      <c r="F70" s="7" t="s">
        <v>60</v>
      </c>
      <c r="G70" s="7" t="str">
        <f>IFERROR(INDEX(Chart_of_Accounts!$B$2:$B$18,MATCH(F70,Chart_of_Accounts!$A$2:$A$18,0)),"")</f>
        <v>Rent</v>
      </c>
      <c r="H70" s="7" t="str">
        <f>IFERROR(INDEX(Chart_of_Accounts!$C$2:$C$18,MATCH(F70,Chart_of_Accounts!$A$2:$A$18,0)),"")</f>
        <v>Expense</v>
      </c>
      <c r="I70" s="9">
        <v>9500</v>
      </c>
      <c r="J70" s="9"/>
      <c r="K70" s="7" t="s">
        <v>154</v>
      </c>
      <c r="L70" s="7" t="s">
        <v>32</v>
      </c>
      <c r="M70" s="7" t="s">
        <v>114</v>
      </c>
      <c r="N70" s="7" t="s">
        <v>98</v>
      </c>
      <c r="O70" s="7" t="str">
        <f>IFERROR(INDEX(Vendors!$B$2:$B$10,MATCH(N70,Vendors!$A$2:$A$10,0)),"")</f>
        <v>Prime Property Management</v>
      </c>
      <c r="P70" s="7" t="s">
        <v>115</v>
      </c>
    </row>
    <row r="71" spans="1:16" x14ac:dyDescent="0.25">
      <c r="A71" s="7">
        <v>35</v>
      </c>
      <c r="B71" s="7" t="s">
        <v>171</v>
      </c>
      <c r="C71" s="8">
        <v>46054</v>
      </c>
      <c r="D71" s="7" t="s">
        <v>74</v>
      </c>
      <c r="E71" s="7" t="str">
        <f>IFERROR(INDEX(Restaurants!$B$2:$B$6,MATCH(D71,Restaurants!$A$2:$A$6,0)),"")</f>
        <v>Trailhead Burger Co. #101 - San Antonio, TX</v>
      </c>
      <c r="F71" s="7" t="s">
        <v>31</v>
      </c>
      <c r="G71" s="7" t="str">
        <f>IFERROR(INDEX(Chart_of_Accounts!$B$2:$B$18,MATCH(F71,Chart_of_Accounts!$A$2:$A$18,0)),"")</f>
        <v>Cash</v>
      </c>
      <c r="H71" s="7" t="str">
        <f>IFERROR(INDEX(Chart_of_Accounts!$C$2:$C$18,MATCH(F71,Chart_of_Accounts!$A$2:$A$18,0)),"")</f>
        <v>Asset</v>
      </c>
      <c r="I71" s="9"/>
      <c r="J71" s="9">
        <v>9500</v>
      </c>
      <c r="K71" s="7" t="s">
        <v>154</v>
      </c>
      <c r="L71" s="7" t="s">
        <v>32</v>
      </c>
      <c r="M71" s="7" t="s">
        <v>114</v>
      </c>
      <c r="N71" s="7" t="s">
        <v>98</v>
      </c>
      <c r="O71" s="7" t="str">
        <f>IFERROR(INDEX(Vendors!$B$2:$B$10,MATCH(N71,Vendors!$A$2:$A$10,0)),"")</f>
        <v>Prime Property Management</v>
      </c>
      <c r="P71" s="7" t="s">
        <v>115</v>
      </c>
    </row>
    <row r="72" spans="1:16" x14ac:dyDescent="0.25">
      <c r="A72" s="7">
        <v>36</v>
      </c>
      <c r="B72" s="7" t="s">
        <v>172</v>
      </c>
      <c r="C72" s="8">
        <v>46073</v>
      </c>
      <c r="D72" s="7" t="s">
        <v>74</v>
      </c>
      <c r="E72" s="7" t="str">
        <f>IFERROR(INDEX(Restaurants!$B$2:$B$6,MATCH(D72,Restaurants!$A$2:$A$6,0)),"")</f>
        <v>Trailhead Burger Co. #101 - San Antonio, TX</v>
      </c>
      <c r="F72" s="7" t="s">
        <v>62</v>
      </c>
      <c r="G72" s="7" t="str">
        <f>IFERROR(INDEX(Chart_of_Accounts!$B$2:$B$18,MATCH(F72,Chart_of_Accounts!$A$2:$A$18,0)),"")</f>
        <v>Utilities</v>
      </c>
      <c r="H72" s="7" t="str">
        <f>IFERROR(INDEX(Chart_of_Accounts!$C$2:$C$18,MATCH(F72,Chart_of_Accounts!$A$2:$A$18,0)),"")</f>
        <v>Expense</v>
      </c>
      <c r="I72" s="9">
        <v>2678</v>
      </c>
      <c r="J72" s="9"/>
      <c r="K72" s="7" t="s">
        <v>156</v>
      </c>
      <c r="L72" s="7" t="s">
        <v>32</v>
      </c>
      <c r="M72" s="7" t="s">
        <v>114</v>
      </c>
      <c r="N72" s="7" t="s">
        <v>96</v>
      </c>
      <c r="O72" s="7" t="str">
        <f>IFERROR(INDEX(Vendors!$B$2:$B$10,MATCH(N72,Vendors!$A$2:$A$10,0)),"")</f>
        <v>CityWide Utilities</v>
      </c>
      <c r="P72" s="7" t="s">
        <v>157</v>
      </c>
    </row>
    <row r="73" spans="1:16" x14ac:dyDescent="0.25">
      <c r="A73" s="7">
        <v>36</v>
      </c>
      <c r="B73" s="7" t="s">
        <v>172</v>
      </c>
      <c r="C73" s="8">
        <v>46073</v>
      </c>
      <c r="D73" s="7" t="s">
        <v>74</v>
      </c>
      <c r="E73" s="7" t="str">
        <f>IFERROR(INDEX(Restaurants!$B$2:$B$6,MATCH(D73,Restaurants!$A$2:$A$6,0)),"")</f>
        <v>Trailhead Burger Co. #101 - San Antonio, TX</v>
      </c>
      <c r="F73" s="7" t="s">
        <v>31</v>
      </c>
      <c r="G73" s="7" t="str">
        <f>IFERROR(INDEX(Chart_of_Accounts!$B$2:$B$18,MATCH(F73,Chart_of_Accounts!$A$2:$A$18,0)),"")</f>
        <v>Cash</v>
      </c>
      <c r="H73" s="7" t="str">
        <f>IFERROR(INDEX(Chart_of_Accounts!$C$2:$C$18,MATCH(F73,Chart_of_Accounts!$A$2:$A$18,0)),"")</f>
        <v>Asset</v>
      </c>
      <c r="I73" s="9"/>
      <c r="J73" s="9">
        <v>2678</v>
      </c>
      <c r="K73" s="7" t="s">
        <v>156</v>
      </c>
      <c r="L73" s="7" t="s">
        <v>32</v>
      </c>
      <c r="M73" s="7" t="s">
        <v>114</v>
      </c>
      <c r="N73" s="7" t="s">
        <v>96</v>
      </c>
      <c r="O73" s="7" t="str">
        <f>IFERROR(INDEX(Vendors!$B$2:$B$10,MATCH(N73,Vendors!$A$2:$A$10,0)),"")</f>
        <v>CityWide Utilities</v>
      </c>
      <c r="P73" s="7" t="s">
        <v>157</v>
      </c>
    </row>
    <row r="74" spans="1:16" x14ac:dyDescent="0.25">
      <c r="A74" s="7">
        <v>37</v>
      </c>
      <c r="B74" s="7" t="s">
        <v>173</v>
      </c>
      <c r="C74" s="8">
        <v>46081</v>
      </c>
      <c r="D74" s="7" t="s">
        <v>74</v>
      </c>
      <c r="E74" s="7" t="str">
        <f>IFERROR(INDEX(Restaurants!$B$2:$B$6,MATCH(D74,Restaurants!$A$2:$A$6,0)),"")</f>
        <v>Trailhead Burger Co. #101 - San Antonio, TX</v>
      </c>
      <c r="F74" s="7" t="s">
        <v>66</v>
      </c>
      <c r="G74" s="7" t="str">
        <f>IFERROR(INDEX(Chart_of_Accounts!$B$2:$B$18,MATCH(F74,Chart_of_Accounts!$A$2:$A$18,0)),"")</f>
        <v>CC Processing Fees</v>
      </c>
      <c r="H74" s="7" t="str">
        <f>IFERROR(INDEX(Chart_of_Accounts!$C$2:$C$18,MATCH(F74,Chart_of_Accounts!$A$2:$A$18,0)),"")</f>
        <v>Expense</v>
      </c>
      <c r="I74" s="9">
        <v>3111</v>
      </c>
      <c r="J74" s="9"/>
      <c r="K74" s="7" t="s">
        <v>159</v>
      </c>
      <c r="L74" s="7" t="s">
        <v>32</v>
      </c>
      <c r="M74" s="7" t="s">
        <v>114</v>
      </c>
      <c r="N74" s="7"/>
      <c r="O74" s="7"/>
      <c r="P74" s="7" t="s">
        <v>115</v>
      </c>
    </row>
    <row r="75" spans="1:16" x14ac:dyDescent="0.25">
      <c r="A75" s="7">
        <v>37</v>
      </c>
      <c r="B75" s="7" t="s">
        <v>173</v>
      </c>
      <c r="C75" s="8">
        <v>46081</v>
      </c>
      <c r="D75" s="7" t="s">
        <v>74</v>
      </c>
      <c r="E75" s="7" t="str">
        <f>IFERROR(INDEX(Restaurants!$B$2:$B$6,MATCH(D75,Restaurants!$A$2:$A$6,0)),"")</f>
        <v>Trailhead Burger Co. #101 - San Antonio, TX</v>
      </c>
      <c r="F75" s="7" t="s">
        <v>31</v>
      </c>
      <c r="G75" s="7" t="str">
        <f>IFERROR(INDEX(Chart_of_Accounts!$B$2:$B$18,MATCH(F75,Chart_of_Accounts!$A$2:$A$18,0)),"")</f>
        <v>Cash</v>
      </c>
      <c r="H75" s="7" t="str">
        <f>IFERROR(INDEX(Chart_of_Accounts!$C$2:$C$18,MATCH(F75,Chart_of_Accounts!$A$2:$A$18,0)),"")</f>
        <v>Asset</v>
      </c>
      <c r="I75" s="9"/>
      <c r="J75" s="9">
        <v>3111</v>
      </c>
      <c r="K75" s="7" t="s">
        <v>159</v>
      </c>
      <c r="L75" s="7" t="s">
        <v>32</v>
      </c>
      <c r="M75" s="7" t="s">
        <v>114</v>
      </c>
      <c r="N75" s="7"/>
      <c r="O75" s="7"/>
      <c r="P75" s="7" t="s">
        <v>115</v>
      </c>
    </row>
    <row r="76" spans="1:16" x14ac:dyDescent="0.25">
      <c r="A76" s="7">
        <v>38</v>
      </c>
      <c r="B76" s="7" t="s">
        <v>174</v>
      </c>
      <c r="C76" s="8">
        <v>46065</v>
      </c>
      <c r="D76" s="7" t="s">
        <v>74</v>
      </c>
      <c r="E76" s="7" t="str">
        <f>IFERROR(INDEX(Restaurants!$B$2:$B$6,MATCH(D76,Restaurants!$A$2:$A$6,0)),"")</f>
        <v>Trailhead Burger Co. #101 - San Antonio, TX</v>
      </c>
      <c r="F76" s="7" t="s">
        <v>68</v>
      </c>
      <c r="G76" s="7" t="str">
        <f>IFERROR(INDEX(Chart_of_Accounts!$B$2:$B$18,MATCH(F76,Chart_of_Accounts!$A$2:$A$18,0)),"")</f>
        <v>Marketing</v>
      </c>
      <c r="H76" s="7" t="str">
        <f>IFERROR(INDEX(Chart_of_Accounts!$C$2:$C$18,MATCH(F76,Chart_of_Accounts!$A$2:$A$18,0)),"")</f>
        <v>Expense</v>
      </c>
      <c r="I76" s="9">
        <v>3733.2</v>
      </c>
      <c r="J76" s="9"/>
      <c r="K76" s="7" t="s">
        <v>161</v>
      </c>
      <c r="L76" s="7" t="s">
        <v>32</v>
      </c>
      <c r="M76" s="7" t="s">
        <v>114</v>
      </c>
      <c r="N76" s="7" t="s">
        <v>100</v>
      </c>
      <c r="O76" s="7" t="str">
        <f>IFERROR(INDEX(Vendors!$B$2:$B$10,MATCH(N76,Vendors!$A$2:$A$10,0)),"")</f>
        <v>BrightSign Marketing Agency</v>
      </c>
      <c r="P76" s="7" t="s">
        <v>69</v>
      </c>
    </row>
    <row r="77" spans="1:16" x14ac:dyDescent="0.25">
      <c r="A77" s="7">
        <v>38</v>
      </c>
      <c r="B77" s="7" t="s">
        <v>174</v>
      </c>
      <c r="C77" s="8">
        <v>46065</v>
      </c>
      <c r="D77" s="7" t="s">
        <v>74</v>
      </c>
      <c r="E77" s="7" t="str">
        <f>IFERROR(INDEX(Restaurants!$B$2:$B$6,MATCH(D77,Restaurants!$A$2:$A$6,0)),"")</f>
        <v>Trailhead Burger Co. #101 - San Antonio, TX</v>
      </c>
      <c r="F77" s="7" t="s">
        <v>31</v>
      </c>
      <c r="G77" s="7" t="str">
        <f>IFERROR(INDEX(Chart_of_Accounts!$B$2:$B$18,MATCH(F77,Chart_of_Accounts!$A$2:$A$18,0)),"")</f>
        <v>Cash</v>
      </c>
      <c r="H77" s="7" t="str">
        <f>IFERROR(INDEX(Chart_of_Accounts!$C$2:$C$18,MATCH(F77,Chart_of_Accounts!$A$2:$A$18,0)),"")</f>
        <v>Asset</v>
      </c>
      <c r="I77" s="9"/>
      <c r="J77" s="9">
        <v>3733.2</v>
      </c>
      <c r="K77" s="7" t="s">
        <v>161</v>
      </c>
      <c r="L77" s="7" t="s">
        <v>32</v>
      </c>
      <c r="M77" s="7" t="s">
        <v>114</v>
      </c>
      <c r="N77" s="7" t="s">
        <v>100</v>
      </c>
      <c r="O77" s="7" t="str">
        <f>IFERROR(INDEX(Vendors!$B$2:$B$10,MATCH(N77,Vendors!$A$2:$A$10,0)),"")</f>
        <v>BrightSign Marketing Agency</v>
      </c>
      <c r="P77" s="7" t="s">
        <v>69</v>
      </c>
    </row>
    <row r="78" spans="1:16" x14ac:dyDescent="0.25">
      <c r="A78" s="7">
        <v>39</v>
      </c>
      <c r="B78" s="7" t="s">
        <v>175</v>
      </c>
      <c r="C78" s="8">
        <v>46081</v>
      </c>
      <c r="D78" s="7" t="s">
        <v>74</v>
      </c>
      <c r="E78" s="7" t="str">
        <f>IFERROR(INDEX(Restaurants!$B$2:$B$6,MATCH(D78,Restaurants!$A$2:$A$6,0)),"")</f>
        <v>Trailhead Burger Co. #101 - San Antonio, TX</v>
      </c>
      <c r="F78" s="7" t="s">
        <v>70</v>
      </c>
      <c r="G78" s="7" t="str">
        <f>IFERROR(INDEX(Chart_of_Accounts!$B$2:$B$18,MATCH(F78,Chart_of_Accounts!$A$2:$A$18,0)),"")</f>
        <v>Franchise Fees</v>
      </c>
      <c r="H78" s="7" t="str">
        <f>IFERROR(INDEX(Chart_of_Accounts!$C$2:$C$18,MATCH(F78,Chart_of_Accounts!$A$2:$A$18,0)),"")</f>
        <v>Expense</v>
      </c>
      <c r="I78" s="9">
        <v>4977.6000000000004</v>
      </c>
      <c r="J78" s="9"/>
      <c r="K78" s="7" t="s">
        <v>163</v>
      </c>
      <c r="L78" s="7" t="s">
        <v>32</v>
      </c>
      <c r="M78" s="7" t="s">
        <v>114</v>
      </c>
      <c r="N78" s="7" t="s">
        <v>102</v>
      </c>
      <c r="O78" s="7" t="str">
        <f>IFERROR(INDEX(Vendors!$B$2:$B$10,MATCH(N78,Vendors!$A$2:$A$10,0)),"")</f>
        <v>Trailhead Burger Co. - Corporate</v>
      </c>
      <c r="P78" s="7" t="s">
        <v>115</v>
      </c>
    </row>
    <row r="79" spans="1:16" x14ac:dyDescent="0.25">
      <c r="A79" s="7">
        <v>39</v>
      </c>
      <c r="B79" s="7" t="s">
        <v>175</v>
      </c>
      <c r="C79" s="8">
        <v>46081</v>
      </c>
      <c r="D79" s="7" t="s">
        <v>74</v>
      </c>
      <c r="E79" s="7" t="str">
        <f>IFERROR(INDEX(Restaurants!$B$2:$B$6,MATCH(D79,Restaurants!$A$2:$A$6,0)),"")</f>
        <v>Trailhead Burger Co. #101 - San Antonio, TX</v>
      </c>
      <c r="F79" s="7" t="s">
        <v>31</v>
      </c>
      <c r="G79" s="7" t="str">
        <f>IFERROR(INDEX(Chart_of_Accounts!$B$2:$B$18,MATCH(F79,Chart_of_Accounts!$A$2:$A$18,0)),"")</f>
        <v>Cash</v>
      </c>
      <c r="H79" s="7" t="str">
        <f>IFERROR(INDEX(Chart_of_Accounts!$C$2:$C$18,MATCH(F79,Chart_of_Accounts!$A$2:$A$18,0)),"")</f>
        <v>Asset</v>
      </c>
      <c r="I79" s="9"/>
      <c r="J79" s="9">
        <v>4977.6000000000004</v>
      </c>
      <c r="K79" s="7" t="s">
        <v>163</v>
      </c>
      <c r="L79" s="7" t="s">
        <v>32</v>
      </c>
      <c r="M79" s="7" t="s">
        <v>114</v>
      </c>
      <c r="N79" s="7" t="s">
        <v>102</v>
      </c>
      <c r="O79" s="7" t="str">
        <f>IFERROR(INDEX(Vendors!$B$2:$B$10,MATCH(N79,Vendors!$A$2:$A$10,0)),"")</f>
        <v>Trailhead Burger Co. - Corporate</v>
      </c>
      <c r="P79" s="7" t="s">
        <v>115</v>
      </c>
    </row>
    <row r="80" spans="1:16" x14ac:dyDescent="0.25">
      <c r="A80" s="7">
        <v>40</v>
      </c>
      <c r="B80" s="7" t="s">
        <v>176</v>
      </c>
      <c r="C80" s="8">
        <v>46071</v>
      </c>
      <c r="D80" s="7" t="s">
        <v>74</v>
      </c>
      <c r="E80" s="7" t="str">
        <f>IFERROR(INDEX(Restaurants!$B$2:$B$6,MATCH(D80,Restaurants!$A$2:$A$6,0)),"")</f>
        <v>Trailhead Burger Co. #101 - San Antonio, TX</v>
      </c>
      <c r="F80" s="7" t="s">
        <v>41</v>
      </c>
      <c r="G80" s="7" t="str">
        <f>IFERROR(INDEX(Chart_of_Accounts!$B$2:$B$18,MATCH(F80,Chart_of_Accounts!$A$2:$A$18,0)),"")</f>
        <v>Accounts Payable</v>
      </c>
      <c r="H80" s="7" t="str">
        <f>IFERROR(INDEX(Chart_of_Accounts!$C$2:$C$18,MATCH(F80,Chart_of_Accounts!$A$2:$A$18,0)),"")</f>
        <v>Liability</v>
      </c>
      <c r="I80" s="9">
        <v>33598.800000000003</v>
      </c>
      <c r="J80" s="9"/>
      <c r="K80" s="7" t="s">
        <v>177</v>
      </c>
      <c r="L80" s="7" t="s">
        <v>32</v>
      </c>
      <c r="M80" s="7" t="s">
        <v>114</v>
      </c>
      <c r="N80" s="7" t="s">
        <v>88</v>
      </c>
      <c r="O80" s="7" t="str">
        <f>IFERROR(INDEX(Vendors!$B$2:$B$10,MATCH(N80,Vendors!$A$2:$A$10,0)),"")</f>
        <v>Fresh Produce Partners</v>
      </c>
      <c r="P80" s="7" t="s">
        <v>115</v>
      </c>
    </row>
    <row r="81" spans="1:16" x14ac:dyDescent="0.25">
      <c r="A81" s="7">
        <v>40</v>
      </c>
      <c r="B81" s="7" t="s">
        <v>176</v>
      </c>
      <c r="C81" s="8">
        <v>46071</v>
      </c>
      <c r="D81" s="7" t="s">
        <v>74</v>
      </c>
      <c r="E81" s="7" t="str">
        <f>IFERROR(INDEX(Restaurants!$B$2:$B$6,MATCH(D81,Restaurants!$A$2:$A$6,0)),"")</f>
        <v>Trailhead Burger Co. #101 - San Antonio, TX</v>
      </c>
      <c r="F81" s="7" t="s">
        <v>31</v>
      </c>
      <c r="G81" s="7" t="str">
        <f>IFERROR(INDEX(Chart_of_Accounts!$B$2:$B$18,MATCH(F81,Chart_of_Accounts!$A$2:$A$18,0)),"")</f>
        <v>Cash</v>
      </c>
      <c r="H81" s="7" t="str">
        <f>IFERROR(INDEX(Chart_of_Accounts!$C$2:$C$18,MATCH(F81,Chart_of_Accounts!$A$2:$A$18,0)),"")</f>
        <v>Asset</v>
      </c>
      <c r="I81" s="9"/>
      <c r="J81" s="9">
        <v>33598.800000000003</v>
      </c>
      <c r="K81" s="7" t="s">
        <v>177</v>
      </c>
      <c r="L81" s="7" t="s">
        <v>32</v>
      </c>
      <c r="M81" s="7" t="s">
        <v>114</v>
      </c>
      <c r="N81" s="7" t="s">
        <v>88</v>
      </c>
      <c r="O81" s="7" t="str">
        <f>IFERROR(INDEX(Vendors!$B$2:$B$10,MATCH(N81,Vendors!$A$2:$A$10,0)),"")</f>
        <v>Fresh Produce Partners</v>
      </c>
      <c r="P81" s="7" t="s">
        <v>115</v>
      </c>
    </row>
    <row r="82" spans="1:16" x14ac:dyDescent="0.25">
      <c r="A82" s="7">
        <v>41</v>
      </c>
      <c r="B82" s="7" t="s">
        <v>178</v>
      </c>
      <c r="C82" s="8">
        <v>46086</v>
      </c>
      <c r="D82" s="7" t="s">
        <v>74</v>
      </c>
      <c r="E82" s="7" t="str">
        <f>IFERROR(INDEX(Restaurants!$B$2:$B$6,MATCH(D82,Restaurants!$A$2:$A$6,0)),"")</f>
        <v>Trailhead Burger Co. #101 - San Antonio, TX</v>
      </c>
      <c r="F82" s="7" t="s">
        <v>31</v>
      </c>
      <c r="G82" s="7" t="str">
        <f>IFERROR(INDEX(Chart_of_Accounts!$B$2:$B$18,MATCH(F82,Chart_of_Accounts!$A$2:$A$18,0)),"")</f>
        <v>Cash</v>
      </c>
      <c r="H82" s="7" t="str">
        <f>IFERROR(INDEX(Chart_of_Accounts!$C$2:$C$18,MATCH(F82,Chart_of_Accounts!$A$2:$A$18,0)),"")</f>
        <v>Asset</v>
      </c>
      <c r="I82" s="9">
        <v>104000</v>
      </c>
      <c r="J82" s="9"/>
      <c r="K82" s="7" t="s">
        <v>134</v>
      </c>
      <c r="L82" s="7" t="s">
        <v>32</v>
      </c>
      <c r="M82" s="7" t="s">
        <v>135</v>
      </c>
      <c r="N82" s="7"/>
      <c r="O82" s="7"/>
      <c r="P82" s="7" t="s">
        <v>136</v>
      </c>
    </row>
    <row r="83" spans="1:16" x14ac:dyDescent="0.25">
      <c r="A83" s="7">
        <v>41</v>
      </c>
      <c r="B83" s="7" t="s">
        <v>178</v>
      </c>
      <c r="C83" s="8">
        <v>46086</v>
      </c>
      <c r="D83" s="7" t="s">
        <v>74</v>
      </c>
      <c r="E83" s="7" t="str">
        <f>IFERROR(INDEX(Restaurants!$B$2:$B$6,MATCH(D83,Restaurants!$A$2:$A$6,0)),"")</f>
        <v>Trailhead Burger Co. #101 - San Antonio, TX</v>
      </c>
      <c r="F83" s="7" t="s">
        <v>50</v>
      </c>
      <c r="G83" s="7" t="str">
        <f>IFERROR(INDEX(Chart_of_Accounts!$B$2:$B$18,MATCH(F83,Chart_of_Accounts!$A$2:$A$18,0)),"")</f>
        <v>Restaurant Sales</v>
      </c>
      <c r="H83" s="7" t="str">
        <f>IFERROR(INDEX(Chart_of_Accounts!$C$2:$C$18,MATCH(F83,Chart_of_Accounts!$A$2:$A$18,0)),"")</f>
        <v>Revenue</v>
      </c>
      <c r="I83" s="9"/>
      <c r="J83" s="9">
        <v>104000</v>
      </c>
      <c r="K83" s="7" t="s">
        <v>134</v>
      </c>
      <c r="L83" s="7" t="s">
        <v>32</v>
      </c>
      <c r="M83" s="7" t="s">
        <v>135</v>
      </c>
      <c r="N83" s="7"/>
      <c r="O83" s="7"/>
      <c r="P83" s="7" t="s">
        <v>136</v>
      </c>
    </row>
    <row r="84" spans="1:16" x14ac:dyDescent="0.25">
      <c r="A84" s="7">
        <v>42</v>
      </c>
      <c r="B84" s="7" t="s">
        <v>179</v>
      </c>
      <c r="C84" s="8">
        <v>46088</v>
      </c>
      <c r="D84" s="7" t="s">
        <v>74</v>
      </c>
      <c r="E84" s="7" t="str">
        <f>IFERROR(INDEX(Restaurants!$B$2:$B$6,MATCH(D84,Restaurants!$A$2:$A$6,0)),"")</f>
        <v>Trailhead Burger Co. #101 - San Antonio, TX</v>
      </c>
      <c r="F84" s="7" t="s">
        <v>35</v>
      </c>
      <c r="G84" s="7" t="str">
        <f>IFERROR(INDEX(Chart_of_Accounts!$B$2:$B$18,MATCH(F84,Chart_of_Accounts!$A$2:$A$18,0)),"")</f>
        <v>Accounts Receivable</v>
      </c>
      <c r="H84" s="7" t="str">
        <f>IFERROR(INDEX(Chart_of_Accounts!$C$2:$C$18,MATCH(F84,Chart_of_Accounts!$A$2:$A$18,0)),"")</f>
        <v>Asset</v>
      </c>
      <c r="I84" s="9">
        <v>22880</v>
      </c>
      <c r="J84" s="9"/>
      <c r="K84" s="7" t="s">
        <v>138</v>
      </c>
      <c r="L84" s="7" t="s">
        <v>139</v>
      </c>
      <c r="M84" s="7" t="s">
        <v>140</v>
      </c>
      <c r="N84" s="7" t="s">
        <v>94</v>
      </c>
      <c r="O84" s="7" t="str">
        <f>IFERROR(INDEX(Vendors!$B$2:$B$10,MATCH(N84,Vendors!$A$2:$A$10,0)),"")</f>
        <v>QuickDash Delivery Platform</v>
      </c>
      <c r="P84" s="7" t="s">
        <v>136</v>
      </c>
    </row>
    <row r="85" spans="1:16" x14ac:dyDescent="0.25">
      <c r="A85" s="7">
        <v>42</v>
      </c>
      <c r="B85" s="7" t="s">
        <v>179</v>
      </c>
      <c r="C85" s="8">
        <v>46088</v>
      </c>
      <c r="D85" s="7" t="s">
        <v>74</v>
      </c>
      <c r="E85" s="7" t="str">
        <f>IFERROR(INDEX(Restaurants!$B$2:$B$6,MATCH(D85,Restaurants!$A$2:$A$6,0)),"")</f>
        <v>Trailhead Burger Co. #101 - San Antonio, TX</v>
      </c>
      <c r="F85" s="7" t="s">
        <v>53</v>
      </c>
      <c r="G85" s="7" t="str">
        <f>IFERROR(INDEX(Chart_of_Accounts!$B$2:$B$18,MATCH(F85,Chart_of_Accounts!$A$2:$A$18,0)),"")</f>
        <v>Delivery Sales</v>
      </c>
      <c r="H85" s="7" t="str">
        <f>IFERROR(INDEX(Chart_of_Accounts!$C$2:$C$18,MATCH(F85,Chart_of_Accounts!$A$2:$A$18,0)),"")</f>
        <v>Revenue</v>
      </c>
      <c r="I85" s="9"/>
      <c r="J85" s="9">
        <v>22880</v>
      </c>
      <c r="K85" s="7" t="s">
        <v>138</v>
      </c>
      <c r="L85" s="7" t="s">
        <v>139</v>
      </c>
      <c r="M85" s="7" t="s">
        <v>140</v>
      </c>
      <c r="N85" s="7" t="s">
        <v>94</v>
      </c>
      <c r="O85" s="7" t="str">
        <f>IFERROR(INDEX(Vendors!$B$2:$B$10,MATCH(N85,Vendors!$A$2:$A$10,0)),"")</f>
        <v>QuickDash Delivery Platform</v>
      </c>
      <c r="P85" s="7" t="s">
        <v>136</v>
      </c>
    </row>
    <row r="86" spans="1:16" x14ac:dyDescent="0.25">
      <c r="A86" s="7">
        <v>43</v>
      </c>
      <c r="B86" s="7" t="s">
        <v>180</v>
      </c>
      <c r="C86" s="8">
        <v>46091</v>
      </c>
      <c r="D86" s="7" t="s">
        <v>74</v>
      </c>
      <c r="E86" s="7" t="str">
        <f>IFERROR(INDEX(Restaurants!$B$2:$B$6,MATCH(D86,Restaurants!$A$2:$A$6,0)),"")</f>
        <v>Trailhead Burger Co. #101 - San Antonio, TX</v>
      </c>
      <c r="F86" s="7" t="s">
        <v>31</v>
      </c>
      <c r="G86" s="7" t="str">
        <f>IFERROR(INDEX(Chart_of_Accounts!$B$2:$B$18,MATCH(F86,Chart_of_Accounts!$A$2:$A$18,0)),"")</f>
        <v>Cash</v>
      </c>
      <c r="H86" s="7" t="str">
        <f>IFERROR(INDEX(Chart_of_Accounts!$C$2:$C$18,MATCH(F86,Chart_of_Accounts!$A$2:$A$18,0)),"")</f>
        <v>Asset</v>
      </c>
      <c r="I86" s="9">
        <v>22880</v>
      </c>
      <c r="J86" s="9"/>
      <c r="K86" s="7" t="s">
        <v>142</v>
      </c>
      <c r="L86" s="7" t="s">
        <v>139</v>
      </c>
      <c r="M86" s="7" t="s">
        <v>140</v>
      </c>
      <c r="N86" s="7" t="s">
        <v>94</v>
      </c>
      <c r="O86" s="7" t="str">
        <f>IFERROR(INDEX(Vendors!$B$2:$B$10,MATCH(N86,Vendors!$A$2:$A$10,0)),"")</f>
        <v>QuickDash Delivery Platform</v>
      </c>
      <c r="P86" s="7" t="s">
        <v>136</v>
      </c>
    </row>
    <row r="87" spans="1:16" x14ac:dyDescent="0.25">
      <c r="A87" s="7">
        <v>43</v>
      </c>
      <c r="B87" s="7" t="s">
        <v>180</v>
      </c>
      <c r="C87" s="8">
        <v>46091</v>
      </c>
      <c r="D87" s="7" t="s">
        <v>74</v>
      </c>
      <c r="E87" s="7" t="str">
        <f>IFERROR(INDEX(Restaurants!$B$2:$B$6,MATCH(D87,Restaurants!$A$2:$A$6,0)),"")</f>
        <v>Trailhead Burger Co. #101 - San Antonio, TX</v>
      </c>
      <c r="F87" s="7" t="s">
        <v>35</v>
      </c>
      <c r="G87" s="7" t="str">
        <f>IFERROR(INDEX(Chart_of_Accounts!$B$2:$B$18,MATCH(F87,Chart_of_Accounts!$A$2:$A$18,0)),"")</f>
        <v>Accounts Receivable</v>
      </c>
      <c r="H87" s="7" t="str">
        <f>IFERROR(INDEX(Chart_of_Accounts!$C$2:$C$18,MATCH(F87,Chart_of_Accounts!$A$2:$A$18,0)),"")</f>
        <v>Asset</v>
      </c>
      <c r="I87" s="9"/>
      <c r="J87" s="9">
        <v>22880</v>
      </c>
      <c r="K87" s="7" t="s">
        <v>142</v>
      </c>
      <c r="L87" s="7" t="s">
        <v>139</v>
      </c>
      <c r="M87" s="7" t="s">
        <v>140</v>
      </c>
      <c r="N87" s="7" t="s">
        <v>94</v>
      </c>
      <c r="O87" s="7" t="str">
        <f>IFERROR(INDEX(Vendors!$B$2:$B$10,MATCH(N87,Vendors!$A$2:$A$10,0)),"")</f>
        <v>QuickDash Delivery Platform</v>
      </c>
      <c r="P87" s="7" t="s">
        <v>136</v>
      </c>
    </row>
    <row r="88" spans="1:16" x14ac:dyDescent="0.25">
      <c r="A88" s="7">
        <v>44</v>
      </c>
      <c r="B88" s="7" t="s">
        <v>181</v>
      </c>
      <c r="C88" s="8">
        <v>46091</v>
      </c>
      <c r="D88" s="7" t="s">
        <v>74</v>
      </c>
      <c r="E88" s="7" t="str">
        <f>IFERROR(INDEX(Restaurants!$B$2:$B$6,MATCH(D88,Restaurants!$A$2:$A$6,0)),"")</f>
        <v>Trailhead Burger Co. #101 - San Antonio, TX</v>
      </c>
      <c r="F88" s="7" t="s">
        <v>64</v>
      </c>
      <c r="G88" s="7" t="str">
        <f>IFERROR(INDEX(Chart_of_Accounts!$B$2:$B$18,MATCH(F88,Chart_of_Accounts!$A$2:$A$18,0)),"")</f>
        <v>Delivery Fees</v>
      </c>
      <c r="H88" s="7" t="str">
        <f>IFERROR(INDEX(Chart_of_Accounts!$C$2:$C$18,MATCH(F88,Chart_of_Accounts!$A$2:$A$18,0)),"")</f>
        <v>Expense</v>
      </c>
      <c r="I88" s="9">
        <v>3432</v>
      </c>
      <c r="J88" s="9"/>
      <c r="K88" s="7" t="s">
        <v>144</v>
      </c>
      <c r="L88" s="7" t="s">
        <v>32</v>
      </c>
      <c r="M88" s="7" t="s">
        <v>140</v>
      </c>
      <c r="N88" s="7" t="s">
        <v>94</v>
      </c>
      <c r="O88" s="7" t="str">
        <f>IFERROR(INDEX(Vendors!$B$2:$B$10,MATCH(N88,Vendors!$A$2:$A$10,0)),"")</f>
        <v>QuickDash Delivery Platform</v>
      </c>
      <c r="P88" s="7" t="s">
        <v>136</v>
      </c>
    </row>
    <row r="89" spans="1:16" x14ac:dyDescent="0.25">
      <c r="A89" s="7">
        <v>44</v>
      </c>
      <c r="B89" s="7" t="s">
        <v>181</v>
      </c>
      <c r="C89" s="8">
        <v>46091</v>
      </c>
      <c r="D89" s="7" t="s">
        <v>74</v>
      </c>
      <c r="E89" s="7" t="str">
        <f>IFERROR(INDEX(Restaurants!$B$2:$B$6,MATCH(D89,Restaurants!$A$2:$A$6,0)),"")</f>
        <v>Trailhead Burger Co. #101 - San Antonio, TX</v>
      </c>
      <c r="F89" s="7" t="s">
        <v>31</v>
      </c>
      <c r="G89" s="7" t="str">
        <f>IFERROR(INDEX(Chart_of_Accounts!$B$2:$B$18,MATCH(F89,Chart_of_Accounts!$A$2:$A$18,0)),"")</f>
        <v>Cash</v>
      </c>
      <c r="H89" s="7" t="str">
        <f>IFERROR(INDEX(Chart_of_Accounts!$C$2:$C$18,MATCH(F89,Chart_of_Accounts!$A$2:$A$18,0)),"")</f>
        <v>Asset</v>
      </c>
      <c r="I89" s="9"/>
      <c r="J89" s="9">
        <v>3432</v>
      </c>
      <c r="K89" s="7" t="s">
        <v>144</v>
      </c>
      <c r="L89" s="7" t="s">
        <v>32</v>
      </c>
      <c r="M89" s="7" t="s">
        <v>140</v>
      </c>
      <c r="N89" s="7" t="s">
        <v>94</v>
      </c>
      <c r="O89" s="7" t="str">
        <f>IFERROR(INDEX(Vendors!$B$2:$B$10,MATCH(N89,Vendors!$A$2:$A$10,0)),"")</f>
        <v>QuickDash Delivery Platform</v>
      </c>
      <c r="P89" s="7" t="s">
        <v>136</v>
      </c>
    </row>
    <row r="90" spans="1:16" x14ac:dyDescent="0.25">
      <c r="A90" s="7">
        <v>45</v>
      </c>
      <c r="B90" s="7" t="s">
        <v>182</v>
      </c>
      <c r="C90" s="8">
        <v>46089</v>
      </c>
      <c r="D90" s="7" t="s">
        <v>74</v>
      </c>
      <c r="E90" s="7" t="str">
        <f>IFERROR(INDEX(Restaurants!$B$2:$B$6,MATCH(D90,Restaurants!$A$2:$A$6,0)),"")</f>
        <v>Trailhead Burger Co. #101 - San Antonio, TX</v>
      </c>
      <c r="F90" s="7" t="s">
        <v>37</v>
      </c>
      <c r="G90" s="7" t="str">
        <f>IFERROR(INDEX(Chart_of_Accounts!$B$2:$B$18,MATCH(F90,Chart_of_Accounts!$A$2:$A$18,0)),"")</f>
        <v>Inventory</v>
      </c>
      <c r="H90" s="7" t="str">
        <f>IFERROR(INDEX(Chart_of_Accounts!$C$2:$C$18,MATCH(F90,Chart_of_Accounts!$A$2:$A$18,0)),"")</f>
        <v>Asset</v>
      </c>
      <c r="I90" s="9">
        <v>39967.199999999997</v>
      </c>
      <c r="J90" s="9"/>
      <c r="K90" s="7" t="s">
        <v>146</v>
      </c>
      <c r="L90" s="7" t="s">
        <v>113</v>
      </c>
      <c r="M90" s="7" t="s">
        <v>114</v>
      </c>
      <c r="N90" s="7" t="s">
        <v>86</v>
      </c>
      <c r="O90" s="7" t="str">
        <f>IFERROR(INDEX(Vendors!$B$2:$B$10,MATCH(N90,Vendors!$A$2:$A$10,0)),"")</f>
        <v>Gulf Coast Meat Supply</v>
      </c>
      <c r="P90" s="7" t="s">
        <v>147</v>
      </c>
    </row>
    <row r="91" spans="1:16" x14ac:dyDescent="0.25">
      <c r="A91" s="7">
        <v>45</v>
      </c>
      <c r="B91" s="7" t="s">
        <v>182</v>
      </c>
      <c r="C91" s="8">
        <v>46089</v>
      </c>
      <c r="D91" s="7" t="s">
        <v>74</v>
      </c>
      <c r="E91" s="7" t="str">
        <f>IFERROR(INDEX(Restaurants!$B$2:$B$6,MATCH(D91,Restaurants!$A$2:$A$6,0)),"")</f>
        <v>Trailhead Burger Co. #101 - San Antonio, TX</v>
      </c>
      <c r="F91" s="7" t="s">
        <v>41</v>
      </c>
      <c r="G91" s="7" t="str">
        <f>IFERROR(INDEX(Chart_of_Accounts!$B$2:$B$18,MATCH(F91,Chart_of_Accounts!$A$2:$A$18,0)),"")</f>
        <v>Accounts Payable</v>
      </c>
      <c r="H91" s="7" t="str">
        <f>IFERROR(INDEX(Chart_of_Accounts!$C$2:$C$18,MATCH(F91,Chart_of_Accounts!$A$2:$A$18,0)),"")</f>
        <v>Liability</v>
      </c>
      <c r="I91" s="9"/>
      <c r="J91" s="9">
        <v>39967.199999999997</v>
      </c>
      <c r="K91" s="7" t="s">
        <v>146</v>
      </c>
      <c r="L91" s="7" t="s">
        <v>113</v>
      </c>
      <c r="M91" s="7" t="s">
        <v>114</v>
      </c>
      <c r="N91" s="7" t="s">
        <v>86</v>
      </c>
      <c r="O91" s="7" t="str">
        <f>IFERROR(INDEX(Vendors!$B$2:$B$10,MATCH(N91,Vendors!$A$2:$A$10,0)),"")</f>
        <v>Gulf Coast Meat Supply</v>
      </c>
      <c r="P91" s="7" t="s">
        <v>147</v>
      </c>
    </row>
    <row r="92" spans="1:16" x14ac:dyDescent="0.25">
      <c r="A92" s="7">
        <v>46</v>
      </c>
      <c r="B92" s="7" t="s">
        <v>183</v>
      </c>
      <c r="C92" s="8">
        <v>46109</v>
      </c>
      <c r="D92" s="7" t="s">
        <v>74</v>
      </c>
      <c r="E92" s="7" t="str">
        <f>IFERROR(INDEX(Restaurants!$B$2:$B$6,MATCH(D92,Restaurants!$A$2:$A$6,0)),"")</f>
        <v>Trailhead Burger Co. #101 - San Antonio, TX</v>
      </c>
      <c r="F92" s="7" t="s">
        <v>55</v>
      </c>
      <c r="G92" s="7" t="str">
        <f>IFERROR(INDEX(Chart_of_Accounts!$B$2:$B$18,MATCH(F92,Chart_of_Accounts!$A$2:$A$18,0)),"")</f>
        <v>Food Cost</v>
      </c>
      <c r="H92" s="7" t="str">
        <f>IFERROR(INDEX(Chart_of_Accounts!$C$2:$C$18,MATCH(F92,Chart_of_Accounts!$A$2:$A$18,0)),"")</f>
        <v>Expense</v>
      </c>
      <c r="I92" s="9">
        <v>38064</v>
      </c>
      <c r="J92" s="9"/>
      <c r="K92" s="7" t="s">
        <v>149</v>
      </c>
      <c r="L92" s="7" t="s">
        <v>113</v>
      </c>
      <c r="M92" s="7" t="s">
        <v>114</v>
      </c>
      <c r="N92" s="7" t="s">
        <v>86</v>
      </c>
      <c r="O92" s="7" t="str">
        <f>IFERROR(INDEX(Vendors!$B$2:$B$10,MATCH(N92,Vendors!$A$2:$A$10,0)),"")</f>
        <v>Gulf Coast Meat Supply</v>
      </c>
      <c r="P92" s="7" t="s">
        <v>136</v>
      </c>
    </row>
    <row r="93" spans="1:16" x14ac:dyDescent="0.25">
      <c r="A93" s="7">
        <v>46</v>
      </c>
      <c r="B93" s="7" t="s">
        <v>183</v>
      </c>
      <c r="C93" s="8">
        <v>46109</v>
      </c>
      <c r="D93" s="7" t="s">
        <v>74</v>
      </c>
      <c r="E93" s="7" t="str">
        <f>IFERROR(INDEX(Restaurants!$B$2:$B$6,MATCH(D93,Restaurants!$A$2:$A$6,0)),"")</f>
        <v>Trailhead Burger Co. #101 - San Antonio, TX</v>
      </c>
      <c r="F93" s="7" t="s">
        <v>37</v>
      </c>
      <c r="G93" s="7" t="str">
        <f>IFERROR(INDEX(Chart_of_Accounts!$B$2:$B$18,MATCH(F93,Chart_of_Accounts!$A$2:$A$18,0)),"")</f>
        <v>Inventory</v>
      </c>
      <c r="H93" s="7" t="str">
        <f>IFERROR(INDEX(Chart_of_Accounts!$C$2:$C$18,MATCH(F93,Chart_of_Accounts!$A$2:$A$18,0)),"")</f>
        <v>Asset</v>
      </c>
      <c r="I93" s="9"/>
      <c r="J93" s="9">
        <v>38064</v>
      </c>
      <c r="K93" s="7" t="s">
        <v>149</v>
      </c>
      <c r="L93" s="7" t="s">
        <v>113</v>
      </c>
      <c r="M93" s="7" t="s">
        <v>114</v>
      </c>
      <c r="N93" s="7" t="s">
        <v>86</v>
      </c>
      <c r="O93" s="7" t="str">
        <f>IFERROR(INDEX(Vendors!$B$2:$B$10,MATCH(N93,Vendors!$A$2:$A$10,0)),"")</f>
        <v>Gulf Coast Meat Supply</v>
      </c>
      <c r="P93" s="7" t="s">
        <v>136</v>
      </c>
    </row>
    <row r="94" spans="1:16" x14ac:dyDescent="0.25">
      <c r="A94" s="7">
        <v>47</v>
      </c>
      <c r="B94" s="7" t="s">
        <v>184</v>
      </c>
      <c r="C94" s="8">
        <v>46096</v>
      </c>
      <c r="D94" s="7" t="s">
        <v>74</v>
      </c>
      <c r="E94" s="7" t="str">
        <f>IFERROR(INDEX(Restaurants!$B$2:$B$6,MATCH(D94,Restaurants!$A$2:$A$6,0)),"")</f>
        <v>Trailhead Burger Co. #101 - San Antonio, TX</v>
      </c>
      <c r="F94" s="7" t="s">
        <v>58</v>
      </c>
      <c r="G94" s="7" t="str">
        <f>IFERROR(INDEX(Chart_of_Accounts!$B$2:$B$18,MATCH(F94,Chart_of_Accounts!$A$2:$A$18,0)),"")</f>
        <v>Labor</v>
      </c>
      <c r="H94" s="7" t="str">
        <f>IFERROR(INDEX(Chart_of_Accounts!$C$2:$C$18,MATCH(F94,Chart_of_Accounts!$A$2:$A$18,0)),"")</f>
        <v>Expense</v>
      </c>
      <c r="I94" s="9">
        <v>32988.800000000003</v>
      </c>
      <c r="J94" s="9"/>
      <c r="K94" s="7" t="s">
        <v>151</v>
      </c>
      <c r="L94" s="7" t="s">
        <v>32</v>
      </c>
      <c r="M94" s="7" t="s">
        <v>114</v>
      </c>
      <c r="N94" s="7"/>
      <c r="O94" s="7"/>
      <c r="P94" s="7" t="s">
        <v>152</v>
      </c>
    </row>
    <row r="95" spans="1:16" x14ac:dyDescent="0.25">
      <c r="A95" s="7">
        <v>47</v>
      </c>
      <c r="B95" s="7" t="s">
        <v>184</v>
      </c>
      <c r="C95" s="8">
        <v>46096</v>
      </c>
      <c r="D95" s="7" t="s">
        <v>74</v>
      </c>
      <c r="E95" s="7" t="str">
        <f>IFERROR(INDEX(Restaurants!$B$2:$B$6,MATCH(D95,Restaurants!$A$2:$A$6,0)),"")</f>
        <v>Trailhead Burger Co. #101 - San Antonio, TX</v>
      </c>
      <c r="F95" s="7" t="s">
        <v>31</v>
      </c>
      <c r="G95" s="7" t="str">
        <f>IFERROR(INDEX(Chart_of_Accounts!$B$2:$B$18,MATCH(F95,Chart_of_Accounts!$A$2:$A$18,0)),"")</f>
        <v>Cash</v>
      </c>
      <c r="H95" s="7" t="str">
        <f>IFERROR(INDEX(Chart_of_Accounts!$C$2:$C$18,MATCH(F95,Chart_of_Accounts!$A$2:$A$18,0)),"")</f>
        <v>Asset</v>
      </c>
      <c r="I95" s="9"/>
      <c r="J95" s="9">
        <v>32988.800000000003</v>
      </c>
      <c r="K95" s="7" t="s">
        <v>151</v>
      </c>
      <c r="L95" s="7" t="s">
        <v>32</v>
      </c>
      <c r="M95" s="7" t="s">
        <v>114</v>
      </c>
      <c r="N95" s="7"/>
      <c r="O95" s="7"/>
      <c r="P95" s="7" t="s">
        <v>152</v>
      </c>
    </row>
    <row r="96" spans="1:16" x14ac:dyDescent="0.25">
      <c r="A96" s="7">
        <v>48</v>
      </c>
      <c r="B96" s="7" t="s">
        <v>185</v>
      </c>
      <c r="C96" s="8">
        <v>46082</v>
      </c>
      <c r="D96" s="7" t="s">
        <v>74</v>
      </c>
      <c r="E96" s="7" t="str">
        <f>IFERROR(INDEX(Restaurants!$B$2:$B$6,MATCH(D96,Restaurants!$A$2:$A$6,0)),"")</f>
        <v>Trailhead Burger Co. #101 - San Antonio, TX</v>
      </c>
      <c r="F96" s="7" t="s">
        <v>60</v>
      </c>
      <c r="G96" s="7" t="str">
        <f>IFERROR(INDEX(Chart_of_Accounts!$B$2:$B$18,MATCH(F96,Chart_of_Accounts!$A$2:$A$18,0)),"")</f>
        <v>Rent</v>
      </c>
      <c r="H96" s="7" t="str">
        <f>IFERROR(INDEX(Chart_of_Accounts!$C$2:$C$18,MATCH(F96,Chart_of_Accounts!$A$2:$A$18,0)),"")</f>
        <v>Expense</v>
      </c>
      <c r="I96" s="9">
        <v>9500</v>
      </c>
      <c r="J96" s="9"/>
      <c r="K96" s="7" t="s">
        <v>154</v>
      </c>
      <c r="L96" s="7" t="s">
        <v>32</v>
      </c>
      <c r="M96" s="7" t="s">
        <v>114</v>
      </c>
      <c r="N96" s="7" t="s">
        <v>98</v>
      </c>
      <c r="O96" s="7" t="str">
        <f>IFERROR(INDEX(Vendors!$B$2:$B$10,MATCH(N96,Vendors!$A$2:$A$10,0)),"")</f>
        <v>Prime Property Management</v>
      </c>
      <c r="P96" s="7" t="s">
        <v>115</v>
      </c>
    </row>
    <row r="97" spans="1:16" x14ac:dyDescent="0.25">
      <c r="A97" s="7">
        <v>48</v>
      </c>
      <c r="B97" s="7" t="s">
        <v>185</v>
      </c>
      <c r="C97" s="8">
        <v>46082</v>
      </c>
      <c r="D97" s="7" t="s">
        <v>74</v>
      </c>
      <c r="E97" s="7" t="str">
        <f>IFERROR(INDEX(Restaurants!$B$2:$B$6,MATCH(D97,Restaurants!$A$2:$A$6,0)),"")</f>
        <v>Trailhead Burger Co. #101 - San Antonio, TX</v>
      </c>
      <c r="F97" s="7" t="s">
        <v>31</v>
      </c>
      <c r="G97" s="7" t="str">
        <f>IFERROR(INDEX(Chart_of_Accounts!$B$2:$B$18,MATCH(F97,Chart_of_Accounts!$A$2:$A$18,0)),"")</f>
        <v>Cash</v>
      </c>
      <c r="H97" s="7" t="str">
        <f>IFERROR(INDEX(Chart_of_Accounts!$C$2:$C$18,MATCH(F97,Chart_of_Accounts!$A$2:$A$18,0)),"")</f>
        <v>Asset</v>
      </c>
      <c r="I97" s="9"/>
      <c r="J97" s="9">
        <v>9500</v>
      </c>
      <c r="K97" s="7" t="s">
        <v>154</v>
      </c>
      <c r="L97" s="7" t="s">
        <v>32</v>
      </c>
      <c r="M97" s="7" t="s">
        <v>114</v>
      </c>
      <c r="N97" s="7" t="s">
        <v>98</v>
      </c>
      <c r="O97" s="7" t="str">
        <f>IFERROR(INDEX(Vendors!$B$2:$B$10,MATCH(N97,Vendors!$A$2:$A$10,0)),"")</f>
        <v>Prime Property Management</v>
      </c>
      <c r="P97" s="7" t="s">
        <v>115</v>
      </c>
    </row>
    <row r="98" spans="1:16" x14ac:dyDescent="0.25">
      <c r="A98" s="7">
        <v>49</v>
      </c>
      <c r="B98" s="7" t="s">
        <v>186</v>
      </c>
      <c r="C98" s="8">
        <v>46101</v>
      </c>
      <c r="D98" s="7" t="s">
        <v>74</v>
      </c>
      <c r="E98" s="7" t="str">
        <f>IFERROR(INDEX(Restaurants!$B$2:$B$6,MATCH(D98,Restaurants!$A$2:$A$6,0)),"")</f>
        <v>Trailhead Burger Co. #101 - San Antonio, TX</v>
      </c>
      <c r="F98" s="7" t="s">
        <v>62</v>
      </c>
      <c r="G98" s="7" t="str">
        <f>IFERROR(INDEX(Chart_of_Accounts!$B$2:$B$18,MATCH(F98,Chart_of_Accounts!$A$2:$A$18,0)),"")</f>
        <v>Utilities</v>
      </c>
      <c r="H98" s="7" t="str">
        <f>IFERROR(INDEX(Chart_of_Accounts!$C$2:$C$18,MATCH(F98,Chart_of_Accounts!$A$2:$A$18,0)),"")</f>
        <v>Expense</v>
      </c>
      <c r="I98" s="9">
        <v>2756</v>
      </c>
      <c r="J98" s="9"/>
      <c r="K98" s="7" t="s">
        <v>156</v>
      </c>
      <c r="L98" s="7" t="s">
        <v>32</v>
      </c>
      <c r="M98" s="7" t="s">
        <v>114</v>
      </c>
      <c r="N98" s="7" t="s">
        <v>96</v>
      </c>
      <c r="O98" s="7" t="str">
        <f>IFERROR(INDEX(Vendors!$B$2:$B$10,MATCH(N98,Vendors!$A$2:$A$10,0)),"")</f>
        <v>CityWide Utilities</v>
      </c>
      <c r="P98" s="7" t="s">
        <v>157</v>
      </c>
    </row>
    <row r="99" spans="1:16" x14ac:dyDescent="0.25">
      <c r="A99" s="7">
        <v>49</v>
      </c>
      <c r="B99" s="7" t="s">
        <v>186</v>
      </c>
      <c r="C99" s="8">
        <v>46101</v>
      </c>
      <c r="D99" s="7" t="s">
        <v>74</v>
      </c>
      <c r="E99" s="7" t="str">
        <f>IFERROR(INDEX(Restaurants!$B$2:$B$6,MATCH(D99,Restaurants!$A$2:$A$6,0)),"")</f>
        <v>Trailhead Burger Co. #101 - San Antonio, TX</v>
      </c>
      <c r="F99" s="7" t="s">
        <v>31</v>
      </c>
      <c r="G99" s="7" t="str">
        <f>IFERROR(INDEX(Chart_of_Accounts!$B$2:$B$18,MATCH(F99,Chart_of_Accounts!$A$2:$A$18,0)),"")</f>
        <v>Cash</v>
      </c>
      <c r="H99" s="7" t="str">
        <f>IFERROR(INDEX(Chart_of_Accounts!$C$2:$C$18,MATCH(F99,Chart_of_Accounts!$A$2:$A$18,0)),"")</f>
        <v>Asset</v>
      </c>
      <c r="I99" s="9"/>
      <c r="J99" s="9">
        <v>2756</v>
      </c>
      <c r="K99" s="7" t="s">
        <v>156</v>
      </c>
      <c r="L99" s="7" t="s">
        <v>32</v>
      </c>
      <c r="M99" s="7" t="s">
        <v>114</v>
      </c>
      <c r="N99" s="7" t="s">
        <v>96</v>
      </c>
      <c r="O99" s="7" t="str">
        <f>IFERROR(INDEX(Vendors!$B$2:$B$10,MATCH(N99,Vendors!$A$2:$A$10,0)),"")</f>
        <v>CityWide Utilities</v>
      </c>
      <c r="P99" s="7" t="s">
        <v>157</v>
      </c>
    </row>
    <row r="100" spans="1:16" x14ac:dyDescent="0.25">
      <c r="A100" s="7">
        <v>50</v>
      </c>
      <c r="B100" s="7" t="s">
        <v>187</v>
      </c>
      <c r="C100" s="8">
        <v>46109</v>
      </c>
      <c r="D100" s="7" t="s">
        <v>74</v>
      </c>
      <c r="E100" s="7" t="str">
        <f>IFERROR(INDEX(Restaurants!$B$2:$B$6,MATCH(D100,Restaurants!$A$2:$A$6,0)),"")</f>
        <v>Trailhead Burger Co. #101 - San Antonio, TX</v>
      </c>
      <c r="F100" s="7" t="s">
        <v>66</v>
      </c>
      <c r="G100" s="7" t="str">
        <f>IFERROR(INDEX(Chart_of_Accounts!$B$2:$B$18,MATCH(F100,Chart_of_Accounts!$A$2:$A$18,0)),"")</f>
        <v>CC Processing Fees</v>
      </c>
      <c r="H100" s="7" t="str">
        <f>IFERROR(INDEX(Chart_of_Accounts!$C$2:$C$18,MATCH(F100,Chart_of_Accounts!$A$2:$A$18,0)),"")</f>
        <v>Expense</v>
      </c>
      <c r="I100" s="9">
        <v>3172</v>
      </c>
      <c r="J100" s="9"/>
      <c r="K100" s="7" t="s">
        <v>159</v>
      </c>
      <c r="L100" s="7" t="s">
        <v>32</v>
      </c>
      <c r="M100" s="7" t="s">
        <v>114</v>
      </c>
      <c r="N100" s="7"/>
      <c r="O100" s="7"/>
      <c r="P100" s="7" t="s">
        <v>115</v>
      </c>
    </row>
    <row r="101" spans="1:16" x14ac:dyDescent="0.25">
      <c r="A101" s="7">
        <v>50</v>
      </c>
      <c r="B101" s="7" t="s">
        <v>187</v>
      </c>
      <c r="C101" s="8">
        <v>46109</v>
      </c>
      <c r="D101" s="7" t="s">
        <v>74</v>
      </c>
      <c r="E101" s="7" t="str">
        <f>IFERROR(INDEX(Restaurants!$B$2:$B$6,MATCH(D101,Restaurants!$A$2:$A$6,0)),"")</f>
        <v>Trailhead Burger Co. #101 - San Antonio, TX</v>
      </c>
      <c r="F101" s="7" t="s">
        <v>31</v>
      </c>
      <c r="G101" s="7" t="str">
        <f>IFERROR(INDEX(Chart_of_Accounts!$B$2:$B$18,MATCH(F101,Chart_of_Accounts!$A$2:$A$18,0)),"")</f>
        <v>Cash</v>
      </c>
      <c r="H101" s="7" t="str">
        <f>IFERROR(INDEX(Chart_of_Accounts!$C$2:$C$18,MATCH(F101,Chart_of_Accounts!$A$2:$A$18,0)),"")</f>
        <v>Asset</v>
      </c>
      <c r="I101" s="9"/>
      <c r="J101" s="9">
        <v>3172</v>
      </c>
      <c r="K101" s="7" t="s">
        <v>159</v>
      </c>
      <c r="L101" s="7" t="s">
        <v>32</v>
      </c>
      <c r="M101" s="7" t="s">
        <v>114</v>
      </c>
      <c r="N101" s="7"/>
      <c r="O101" s="7"/>
      <c r="P101" s="7" t="s">
        <v>115</v>
      </c>
    </row>
    <row r="102" spans="1:16" x14ac:dyDescent="0.25">
      <c r="A102" s="7">
        <v>51</v>
      </c>
      <c r="B102" s="7" t="s">
        <v>188</v>
      </c>
      <c r="C102" s="8">
        <v>46093</v>
      </c>
      <c r="D102" s="7" t="s">
        <v>74</v>
      </c>
      <c r="E102" s="7" t="str">
        <f>IFERROR(INDEX(Restaurants!$B$2:$B$6,MATCH(D102,Restaurants!$A$2:$A$6,0)),"")</f>
        <v>Trailhead Burger Co. #101 - San Antonio, TX</v>
      </c>
      <c r="F102" s="7" t="s">
        <v>68</v>
      </c>
      <c r="G102" s="7" t="str">
        <f>IFERROR(INDEX(Chart_of_Accounts!$B$2:$B$18,MATCH(F102,Chart_of_Accounts!$A$2:$A$18,0)),"")</f>
        <v>Marketing</v>
      </c>
      <c r="H102" s="7" t="str">
        <f>IFERROR(INDEX(Chart_of_Accounts!$C$2:$C$18,MATCH(F102,Chart_of_Accounts!$A$2:$A$18,0)),"")</f>
        <v>Expense</v>
      </c>
      <c r="I102" s="9">
        <v>3806.4</v>
      </c>
      <c r="J102" s="9"/>
      <c r="K102" s="7" t="s">
        <v>161</v>
      </c>
      <c r="L102" s="7" t="s">
        <v>32</v>
      </c>
      <c r="M102" s="7" t="s">
        <v>114</v>
      </c>
      <c r="N102" s="7" t="s">
        <v>100</v>
      </c>
      <c r="O102" s="7" t="str">
        <f>IFERROR(INDEX(Vendors!$B$2:$B$10,MATCH(N102,Vendors!$A$2:$A$10,0)),"")</f>
        <v>BrightSign Marketing Agency</v>
      </c>
      <c r="P102" s="7" t="s">
        <v>69</v>
      </c>
    </row>
    <row r="103" spans="1:16" x14ac:dyDescent="0.25">
      <c r="A103" s="7">
        <v>51</v>
      </c>
      <c r="B103" s="7" t="s">
        <v>188</v>
      </c>
      <c r="C103" s="8">
        <v>46093</v>
      </c>
      <c r="D103" s="7" t="s">
        <v>74</v>
      </c>
      <c r="E103" s="7" t="str">
        <f>IFERROR(INDEX(Restaurants!$B$2:$B$6,MATCH(D103,Restaurants!$A$2:$A$6,0)),"")</f>
        <v>Trailhead Burger Co. #101 - San Antonio, TX</v>
      </c>
      <c r="F103" s="7" t="s">
        <v>31</v>
      </c>
      <c r="G103" s="7" t="str">
        <f>IFERROR(INDEX(Chart_of_Accounts!$B$2:$B$18,MATCH(F103,Chart_of_Accounts!$A$2:$A$18,0)),"")</f>
        <v>Cash</v>
      </c>
      <c r="H103" s="7" t="str">
        <f>IFERROR(INDEX(Chart_of_Accounts!$C$2:$C$18,MATCH(F103,Chart_of_Accounts!$A$2:$A$18,0)),"")</f>
        <v>Asset</v>
      </c>
      <c r="I103" s="9"/>
      <c r="J103" s="9">
        <v>3806.4</v>
      </c>
      <c r="K103" s="7" t="s">
        <v>161</v>
      </c>
      <c r="L103" s="7" t="s">
        <v>32</v>
      </c>
      <c r="M103" s="7" t="s">
        <v>114</v>
      </c>
      <c r="N103" s="7" t="s">
        <v>100</v>
      </c>
      <c r="O103" s="7" t="str">
        <f>IFERROR(INDEX(Vendors!$B$2:$B$10,MATCH(N103,Vendors!$A$2:$A$10,0)),"")</f>
        <v>BrightSign Marketing Agency</v>
      </c>
      <c r="P103" s="7" t="s">
        <v>69</v>
      </c>
    </row>
    <row r="104" spans="1:16" x14ac:dyDescent="0.25">
      <c r="A104" s="7">
        <v>52</v>
      </c>
      <c r="B104" s="7" t="s">
        <v>189</v>
      </c>
      <c r="C104" s="8">
        <v>46111</v>
      </c>
      <c r="D104" s="7" t="s">
        <v>74</v>
      </c>
      <c r="E104" s="7" t="str">
        <f>IFERROR(INDEX(Restaurants!$B$2:$B$6,MATCH(D104,Restaurants!$A$2:$A$6,0)),"")</f>
        <v>Trailhead Burger Co. #101 - San Antonio, TX</v>
      </c>
      <c r="F104" s="7" t="s">
        <v>70</v>
      </c>
      <c r="G104" s="7" t="str">
        <f>IFERROR(INDEX(Chart_of_Accounts!$B$2:$B$18,MATCH(F104,Chart_of_Accounts!$A$2:$A$18,0)),"")</f>
        <v>Franchise Fees</v>
      </c>
      <c r="H104" s="7" t="str">
        <f>IFERROR(INDEX(Chart_of_Accounts!$C$2:$C$18,MATCH(F104,Chart_of_Accounts!$A$2:$A$18,0)),"")</f>
        <v>Expense</v>
      </c>
      <c r="I104" s="9">
        <v>5075.2</v>
      </c>
      <c r="J104" s="9"/>
      <c r="K104" s="7" t="s">
        <v>163</v>
      </c>
      <c r="L104" s="7" t="s">
        <v>32</v>
      </c>
      <c r="M104" s="7" t="s">
        <v>114</v>
      </c>
      <c r="N104" s="7" t="s">
        <v>102</v>
      </c>
      <c r="O104" s="7" t="str">
        <f>IFERROR(INDEX(Vendors!$B$2:$B$10,MATCH(N104,Vendors!$A$2:$A$10,0)),"")</f>
        <v>Trailhead Burger Co. - Corporate</v>
      </c>
      <c r="P104" s="7" t="s">
        <v>115</v>
      </c>
    </row>
    <row r="105" spans="1:16" x14ac:dyDescent="0.25">
      <c r="A105" s="7">
        <v>52</v>
      </c>
      <c r="B105" s="7" t="s">
        <v>189</v>
      </c>
      <c r="C105" s="8">
        <v>46111</v>
      </c>
      <c r="D105" s="7" t="s">
        <v>74</v>
      </c>
      <c r="E105" s="7" t="str">
        <f>IFERROR(INDEX(Restaurants!$B$2:$B$6,MATCH(D105,Restaurants!$A$2:$A$6,0)),"")</f>
        <v>Trailhead Burger Co. #101 - San Antonio, TX</v>
      </c>
      <c r="F105" s="7" t="s">
        <v>31</v>
      </c>
      <c r="G105" s="7" t="str">
        <f>IFERROR(INDEX(Chart_of_Accounts!$B$2:$B$18,MATCH(F105,Chart_of_Accounts!$A$2:$A$18,0)),"")</f>
        <v>Cash</v>
      </c>
      <c r="H105" s="7" t="str">
        <f>IFERROR(INDEX(Chart_of_Accounts!$C$2:$C$18,MATCH(F105,Chart_of_Accounts!$A$2:$A$18,0)),"")</f>
        <v>Asset</v>
      </c>
      <c r="I105" s="9"/>
      <c r="J105" s="9">
        <v>5075.2</v>
      </c>
      <c r="K105" s="7" t="s">
        <v>163</v>
      </c>
      <c r="L105" s="7" t="s">
        <v>32</v>
      </c>
      <c r="M105" s="7" t="s">
        <v>114</v>
      </c>
      <c r="N105" s="7" t="s">
        <v>102</v>
      </c>
      <c r="O105" s="7" t="str">
        <f>IFERROR(INDEX(Vendors!$B$2:$B$10,MATCH(N105,Vendors!$A$2:$A$10,0)),"")</f>
        <v>Trailhead Burger Co. - Corporate</v>
      </c>
      <c r="P105" s="7" t="s">
        <v>115</v>
      </c>
    </row>
    <row r="106" spans="1:16" x14ac:dyDescent="0.25">
      <c r="A106" s="7">
        <v>53</v>
      </c>
      <c r="B106" s="7" t="s">
        <v>190</v>
      </c>
      <c r="C106" s="8">
        <v>46099</v>
      </c>
      <c r="D106" s="7" t="s">
        <v>74</v>
      </c>
      <c r="E106" s="7" t="str">
        <f>IFERROR(INDEX(Restaurants!$B$2:$B$6,MATCH(D106,Restaurants!$A$2:$A$6,0)),"")</f>
        <v>Trailhead Burger Co. #101 - San Antonio, TX</v>
      </c>
      <c r="F106" s="7" t="s">
        <v>41</v>
      </c>
      <c r="G106" s="7" t="str">
        <f>IFERROR(INDEX(Chart_of_Accounts!$B$2:$B$18,MATCH(F106,Chart_of_Accounts!$A$2:$A$18,0)),"")</f>
        <v>Accounts Payable</v>
      </c>
      <c r="H106" s="7" t="str">
        <f>IFERROR(INDEX(Chart_of_Accounts!$C$2:$C$18,MATCH(F106,Chart_of_Accounts!$A$2:$A$18,0)),"")</f>
        <v>Liability</v>
      </c>
      <c r="I106" s="9">
        <v>34257.599999999999</v>
      </c>
      <c r="J106" s="9"/>
      <c r="K106" s="7" t="s">
        <v>177</v>
      </c>
      <c r="L106" s="7" t="s">
        <v>32</v>
      </c>
      <c r="M106" s="7" t="s">
        <v>114</v>
      </c>
      <c r="N106" s="7" t="s">
        <v>86</v>
      </c>
      <c r="O106" s="7" t="str">
        <f>IFERROR(INDEX(Vendors!$B$2:$B$10,MATCH(N106,Vendors!$A$2:$A$10,0)),"")</f>
        <v>Gulf Coast Meat Supply</v>
      </c>
      <c r="P106" s="7" t="s">
        <v>115</v>
      </c>
    </row>
    <row r="107" spans="1:16" x14ac:dyDescent="0.25">
      <c r="A107" s="7">
        <v>53</v>
      </c>
      <c r="B107" s="7" t="s">
        <v>190</v>
      </c>
      <c r="C107" s="8">
        <v>46099</v>
      </c>
      <c r="D107" s="7" t="s">
        <v>74</v>
      </c>
      <c r="E107" s="7" t="str">
        <f>IFERROR(INDEX(Restaurants!$B$2:$B$6,MATCH(D107,Restaurants!$A$2:$A$6,0)),"")</f>
        <v>Trailhead Burger Co. #101 - San Antonio, TX</v>
      </c>
      <c r="F107" s="7" t="s">
        <v>31</v>
      </c>
      <c r="G107" s="7" t="str">
        <f>IFERROR(INDEX(Chart_of_Accounts!$B$2:$B$18,MATCH(F107,Chart_of_Accounts!$A$2:$A$18,0)),"")</f>
        <v>Cash</v>
      </c>
      <c r="H107" s="7" t="str">
        <f>IFERROR(INDEX(Chart_of_Accounts!$C$2:$C$18,MATCH(F107,Chart_of_Accounts!$A$2:$A$18,0)),"")</f>
        <v>Asset</v>
      </c>
      <c r="I107" s="9"/>
      <c r="J107" s="9">
        <v>34257.599999999999</v>
      </c>
      <c r="K107" s="7" t="s">
        <v>177</v>
      </c>
      <c r="L107" s="7" t="s">
        <v>32</v>
      </c>
      <c r="M107" s="7" t="s">
        <v>114</v>
      </c>
      <c r="N107" s="7" t="s">
        <v>86</v>
      </c>
      <c r="O107" s="7" t="str">
        <f>IFERROR(INDEX(Vendors!$B$2:$B$10,MATCH(N107,Vendors!$A$2:$A$10,0)),"")</f>
        <v>Gulf Coast Meat Supply</v>
      </c>
      <c r="P107" s="7" t="s">
        <v>115</v>
      </c>
    </row>
    <row r="108" spans="1:16" x14ac:dyDescent="0.25">
      <c r="A108" s="7">
        <v>54</v>
      </c>
      <c r="B108" s="7" t="s">
        <v>191</v>
      </c>
      <c r="C108" s="8">
        <v>46027</v>
      </c>
      <c r="D108" s="7" t="s">
        <v>76</v>
      </c>
      <c r="E108" s="7" t="str">
        <f>IFERROR(INDEX(Restaurants!$B$2:$B$6,MATCH(D108,Restaurants!$A$2:$A$6,0)),"")</f>
        <v>Trailhead Burger Co. #102 - Austin, TX</v>
      </c>
      <c r="F108" s="7" t="s">
        <v>31</v>
      </c>
      <c r="G108" s="7" t="str">
        <f>IFERROR(INDEX(Chart_of_Accounts!$B$2:$B$18,MATCH(F108,Chart_of_Accounts!$A$2:$A$18,0)),"")</f>
        <v>Cash</v>
      </c>
      <c r="H108" s="7" t="str">
        <f>IFERROR(INDEX(Chart_of_Accounts!$C$2:$C$18,MATCH(F108,Chart_of_Accounts!$A$2:$A$18,0)),"")</f>
        <v>Asset</v>
      </c>
      <c r="I108" s="9">
        <v>95000</v>
      </c>
      <c r="J108" s="9"/>
      <c r="K108" s="7" t="s">
        <v>134</v>
      </c>
      <c r="L108" s="7" t="s">
        <v>32</v>
      </c>
      <c r="M108" s="7" t="s">
        <v>135</v>
      </c>
      <c r="N108" s="7"/>
      <c r="O108" s="7"/>
      <c r="P108" s="7" t="s">
        <v>136</v>
      </c>
    </row>
    <row r="109" spans="1:16" x14ac:dyDescent="0.25">
      <c r="A109" s="7">
        <v>54</v>
      </c>
      <c r="B109" s="7" t="s">
        <v>191</v>
      </c>
      <c r="C109" s="8">
        <v>46027</v>
      </c>
      <c r="D109" s="7" t="s">
        <v>76</v>
      </c>
      <c r="E109" s="7" t="str">
        <f>IFERROR(INDEX(Restaurants!$B$2:$B$6,MATCH(D109,Restaurants!$A$2:$A$6,0)),"")</f>
        <v>Trailhead Burger Co. #102 - Austin, TX</v>
      </c>
      <c r="F109" s="7" t="s">
        <v>50</v>
      </c>
      <c r="G109" s="7" t="str">
        <f>IFERROR(INDEX(Chart_of_Accounts!$B$2:$B$18,MATCH(F109,Chart_of_Accounts!$A$2:$A$18,0)),"")</f>
        <v>Restaurant Sales</v>
      </c>
      <c r="H109" s="7" t="str">
        <f>IFERROR(INDEX(Chart_of_Accounts!$C$2:$C$18,MATCH(F109,Chart_of_Accounts!$A$2:$A$18,0)),"")</f>
        <v>Revenue</v>
      </c>
      <c r="I109" s="9"/>
      <c r="J109" s="9">
        <v>95000</v>
      </c>
      <c r="K109" s="7" t="s">
        <v>134</v>
      </c>
      <c r="L109" s="7" t="s">
        <v>32</v>
      </c>
      <c r="M109" s="7" t="s">
        <v>135</v>
      </c>
      <c r="N109" s="7"/>
      <c r="O109" s="7"/>
      <c r="P109" s="7" t="s">
        <v>136</v>
      </c>
    </row>
    <row r="110" spans="1:16" x14ac:dyDescent="0.25">
      <c r="A110" s="7">
        <v>55</v>
      </c>
      <c r="B110" s="7" t="s">
        <v>192</v>
      </c>
      <c r="C110" s="8">
        <v>46029</v>
      </c>
      <c r="D110" s="7" t="s">
        <v>76</v>
      </c>
      <c r="E110" s="7" t="str">
        <f>IFERROR(INDEX(Restaurants!$B$2:$B$6,MATCH(D110,Restaurants!$A$2:$A$6,0)),"")</f>
        <v>Trailhead Burger Co. #102 - Austin, TX</v>
      </c>
      <c r="F110" s="7" t="s">
        <v>35</v>
      </c>
      <c r="G110" s="7" t="str">
        <f>IFERROR(INDEX(Chart_of_Accounts!$B$2:$B$18,MATCH(F110,Chart_of_Accounts!$A$2:$A$18,0)),"")</f>
        <v>Accounts Receivable</v>
      </c>
      <c r="H110" s="7" t="str">
        <f>IFERROR(INDEX(Chart_of_Accounts!$C$2:$C$18,MATCH(F110,Chart_of_Accounts!$A$2:$A$18,0)),"")</f>
        <v>Asset</v>
      </c>
      <c r="I110" s="9">
        <v>20900</v>
      </c>
      <c r="J110" s="9"/>
      <c r="K110" s="7" t="s">
        <v>138</v>
      </c>
      <c r="L110" s="7" t="s">
        <v>139</v>
      </c>
      <c r="M110" s="7" t="s">
        <v>140</v>
      </c>
      <c r="N110" s="7" t="s">
        <v>94</v>
      </c>
      <c r="O110" s="7" t="str">
        <f>IFERROR(INDEX(Vendors!$B$2:$B$10,MATCH(N110,Vendors!$A$2:$A$10,0)),"")</f>
        <v>QuickDash Delivery Platform</v>
      </c>
      <c r="P110" s="7" t="s">
        <v>136</v>
      </c>
    </row>
    <row r="111" spans="1:16" x14ac:dyDescent="0.25">
      <c r="A111" s="7">
        <v>55</v>
      </c>
      <c r="B111" s="7" t="s">
        <v>192</v>
      </c>
      <c r="C111" s="8">
        <v>46029</v>
      </c>
      <c r="D111" s="7" t="s">
        <v>76</v>
      </c>
      <c r="E111" s="7" t="str">
        <f>IFERROR(INDEX(Restaurants!$B$2:$B$6,MATCH(D111,Restaurants!$A$2:$A$6,0)),"")</f>
        <v>Trailhead Burger Co. #102 - Austin, TX</v>
      </c>
      <c r="F111" s="7" t="s">
        <v>53</v>
      </c>
      <c r="G111" s="7" t="str">
        <f>IFERROR(INDEX(Chart_of_Accounts!$B$2:$B$18,MATCH(F111,Chart_of_Accounts!$A$2:$A$18,0)),"")</f>
        <v>Delivery Sales</v>
      </c>
      <c r="H111" s="7" t="str">
        <f>IFERROR(INDEX(Chart_of_Accounts!$C$2:$C$18,MATCH(F111,Chart_of_Accounts!$A$2:$A$18,0)),"")</f>
        <v>Revenue</v>
      </c>
      <c r="I111" s="9"/>
      <c r="J111" s="9">
        <v>20900</v>
      </c>
      <c r="K111" s="7" t="s">
        <v>138</v>
      </c>
      <c r="L111" s="7" t="s">
        <v>139</v>
      </c>
      <c r="M111" s="7" t="s">
        <v>140</v>
      </c>
      <c r="N111" s="7" t="s">
        <v>94</v>
      </c>
      <c r="O111" s="7" t="str">
        <f>IFERROR(INDEX(Vendors!$B$2:$B$10,MATCH(N111,Vendors!$A$2:$A$10,0)),"")</f>
        <v>QuickDash Delivery Platform</v>
      </c>
      <c r="P111" s="7" t="s">
        <v>136</v>
      </c>
    </row>
    <row r="112" spans="1:16" x14ac:dyDescent="0.25">
      <c r="A112" s="7">
        <v>56</v>
      </c>
      <c r="B112" s="7" t="s">
        <v>193</v>
      </c>
      <c r="C112" s="8">
        <v>46032</v>
      </c>
      <c r="D112" s="7" t="s">
        <v>76</v>
      </c>
      <c r="E112" s="7" t="str">
        <f>IFERROR(INDEX(Restaurants!$B$2:$B$6,MATCH(D112,Restaurants!$A$2:$A$6,0)),"")</f>
        <v>Trailhead Burger Co. #102 - Austin, TX</v>
      </c>
      <c r="F112" s="7" t="s">
        <v>31</v>
      </c>
      <c r="G112" s="7" t="str">
        <f>IFERROR(INDEX(Chart_of_Accounts!$B$2:$B$18,MATCH(F112,Chart_of_Accounts!$A$2:$A$18,0)),"")</f>
        <v>Cash</v>
      </c>
      <c r="H112" s="7" t="str">
        <f>IFERROR(INDEX(Chart_of_Accounts!$C$2:$C$18,MATCH(F112,Chart_of_Accounts!$A$2:$A$18,0)),"")</f>
        <v>Asset</v>
      </c>
      <c r="I112" s="9">
        <v>20900</v>
      </c>
      <c r="J112" s="9"/>
      <c r="K112" s="7" t="s">
        <v>142</v>
      </c>
      <c r="L112" s="7" t="s">
        <v>139</v>
      </c>
      <c r="M112" s="7" t="s">
        <v>140</v>
      </c>
      <c r="N112" s="7" t="s">
        <v>94</v>
      </c>
      <c r="O112" s="7" t="str">
        <f>IFERROR(INDEX(Vendors!$B$2:$B$10,MATCH(N112,Vendors!$A$2:$A$10,0)),"")</f>
        <v>QuickDash Delivery Platform</v>
      </c>
      <c r="P112" s="7" t="s">
        <v>136</v>
      </c>
    </row>
    <row r="113" spans="1:16" x14ac:dyDescent="0.25">
      <c r="A113" s="7">
        <v>56</v>
      </c>
      <c r="B113" s="7" t="s">
        <v>193</v>
      </c>
      <c r="C113" s="8">
        <v>46032</v>
      </c>
      <c r="D113" s="7" t="s">
        <v>76</v>
      </c>
      <c r="E113" s="7" t="str">
        <f>IFERROR(INDEX(Restaurants!$B$2:$B$6,MATCH(D113,Restaurants!$A$2:$A$6,0)),"")</f>
        <v>Trailhead Burger Co. #102 - Austin, TX</v>
      </c>
      <c r="F113" s="7" t="s">
        <v>35</v>
      </c>
      <c r="G113" s="7" t="str">
        <f>IFERROR(INDEX(Chart_of_Accounts!$B$2:$B$18,MATCH(F113,Chart_of_Accounts!$A$2:$A$18,0)),"")</f>
        <v>Accounts Receivable</v>
      </c>
      <c r="H113" s="7" t="str">
        <f>IFERROR(INDEX(Chart_of_Accounts!$C$2:$C$18,MATCH(F113,Chart_of_Accounts!$A$2:$A$18,0)),"")</f>
        <v>Asset</v>
      </c>
      <c r="I113" s="9"/>
      <c r="J113" s="9">
        <v>20900</v>
      </c>
      <c r="K113" s="7" t="s">
        <v>142</v>
      </c>
      <c r="L113" s="7" t="s">
        <v>139</v>
      </c>
      <c r="M113" s="7" t="s">
        <v>140</v>
      </c>
      <c r="N113" s="7" t="s">
        <v>94</v>
      </c>
      <c r="O113" s="7" t="str">
        <f>IFERROR(INDEX(Vendors!$B$2:$B$10,MATCH(N113,Vendors!$A$2:$A$10,0)),"")</f>
        <v>QuickDash Delivery Platform</v>
      </c>
      <c r="P113" s="7" t="s">
        <v>136</v>
      </c>
    </row>
    <row r="114" spans="1:16" x14ac:dyDescent="0.25">
      <c r="A114" s="7">
        <v>57</v>
      </c>
      <c r="B114" s="7" t="s">
        <v>194</v>
      </c>
      <c r="C114" s="8">
        <v>46032</v>
      </c>
      <c r="D114" s="7" t="s">
        <v>76</v>
      </c>
      <c r="E114" s="7" t="str">
        <f>IFERROR(INDEX(Restaurants!$B$2:$B$6,MATCH(D114,Restaurants!$A$2:$A$6,0)),"")</f>
        <v>Trailhead Burger Co. #102 - Austin, TX</v>
      </c>
      <c r="F114" s="7" t="s">
        <v>64</v>
      </c>
      <c r="G114" s="7" t="str">
        <f>IFERROR(INDEX(Chart_of_Accounts!$B$2:$B$18,MATCH(F114,Chart_of_Accounts!$A$2:$A$18,0)),"")</f>
        <v>Delivery Fees</v>
      </c>
      <c r="H114" s="7" t="str">
        <f>IFERROR(INDEX(Chart_of_Accounts!$C$2:$C$18,MATCH(F114,Chart_of_Accounts!$A$2:$A$18,0)),"")</f>
        <v>Expense</v>
      </c>
      <c r="I114" s="9">
        <v>3135</v>
      </c>
      <c r="J114" s="9"/>
      <c r="K114" s="7" t="s">
        <v>144</v>
      </c>
      <c r="L114" s="7" t="s">
        <v>32</v>
      </c>
      <c r="M114" s="7" t="s">
        <v>140</v>
      </c>
      <c r="N114" s="7" t="s">
        <v>94</v>
      </c>
      <c r="O114" s="7" t="str">
        <f>IFERROR(INDEX(Vendors!$B$2:$B$10,MATCH(N114,Vendors!$A$2:$A$10,0)),"")</f>
        <v>QuickDash Delivery Platform</v>
      </c>
      <c r="P114" s="7" t="s">
        <v>136</v>
      </c>
    </row>
    <row r="115" spans="1:16" x14ac:dyDescent="0.25">
      <c r="A115" s="7">
        <v>57</v>
      </c>
      <c r="B115" s="7" t="s">
        <v>194</v>
      </c>
      <c r="C115" s="8">
        <v>46032</v>
      </c>
      <c r="D115" s="7" t="s">
        <v>76</v>
      </c>
      <c r="E115" s="7" t="str">
        <f>IFERROR(INDEX(Restaurants!$B$2:$B$6,MATCH(D115,Restaurants!$A$2:$A$6,0)),"")</f>
        <v>Trailhead Burger Co. #102 - Austin, TX</v>
      </c>
      <c r="F115" s="7" t="s">
        <v>31</v>
      </c>
      <c r="G115" s="7" t="str">
        <f>IFERROR(INDEX(Chart_of_Accounts!$B$2:$B$18,MATCH(F115,Chart_of_Accounts!$A$2:$A$18,0)),"")</f>
        <v>Cash</v>
      </c>
      <c r="H115" s="7" t="str">
        <f>IFERROR(INDEX(Chart_of_Accounts!$C$2:$C$18,MATCH(F115,Chart_of_Accounts!$A$2:$A$18,0)),"")</f>
        <v>Asset</v>
      </c>
      <c r="I115" s="9"/>
      <c r="J115" s="9">
        <v>3135</v>
      </c>
      <c r="K115" s="7" t="s">
        <v>144</v>
      </c>
      <c r="L115" s="7" t="s">
        <v>32</v>
      </c>
      <c r="M115" s="7" t="s">
        <v>140</v>
      </c>
      <c r="N115" s="7" t="s">
        <v>94</v>
      </c>
      <c r="O115" s="7" t="str">
        <f>IFERROR(INDEX(Vendors!$B$2:$B$10,MATCH(N115,Vendors!$A$2:$A$10,0)),"")</f>
        <v>QuickDash Delivery Platform</v>
      </c>
      <c r="P115" s="7" t="s">
        <v>136</v>
      </c>
    </row>
    <row r="116" spans="1:16" x14ac:dyDescent="0.25">
      <c r="A116" s="7">
        <v>58</v>
      </c>
      <c r="B116" s="7" t="s">
        <v>195</v>
      </c>
      <c r="C116" s="8">
        <v>46030</v>
      </c>
      <c r="D116" s="7" t="s">
        <v>76</v>
      </c>
      <c r="E116" s="7" t="str">
        <f>IFERROR(INDEX(Restaurants!$B$2:$B$6,MATCH(D116,Restaurants!$A$2:$A$6,0)),"")</f>
        <v>Trailhead Burger Co. #102 - Austin, TX</v>
      </c>
      <c r="F116" s="7" t="s">
        <v>37</v>
      </c>
      <c r="G116" s="7" t="str">
        <f>IFERROR(INDEX(Chart_of_Accounts!$B$2:$B$18,MATCH(F116,Chart_of_Accounts!$A$2:$A$18,0)),"")</f>
        <v>Inventory</v>
      </c>
      <c r="H116" s="7" t="str">
        <f>IFERROR(INDEX(Chart_of_Accounts!$C$2:$C$18,MATCH(F116,Chart_of_Accounts!$A$2:$A$18,0)),"")</f>
        <v>Asset</v>
      </c>
      <c r="I116" s="9">
        <v>36508.5</v>
      </c>
      <c r="J116" s="9"/>
      <c r="K116" s="7" t="s">
        <v>146</v>
      </c>
      <c r="L116" s="7" t="s">
        <v>113</v>
      </c>
      <c r="M116" s="7" t="s">
        <v>114</v>
      </c>
      <c r="N116" s="7" t="s">
        <v>86</v>
      </c>
      <c r="O116" s="7" t="str">
        <f>IFERROR(INDEX(Vendors!$B$2:$B$10,MATCH(N116,Vendors!$A$2:$A$10,0)),"")</f>
        <v>Gulf Coast Meat Supply</v>
      </c>
      <c r="P116" s="7" t="s">
        <v>147</v>
      </c>
    </row>
    <row r="117" spans="1:16" x14ac:dyDescent="0.25">
      <c r="A117" s="7">
        <v>58</v>
      </c>
      <c r="B117" s="7" t="s">
        <v>195</v>
      </c>
      <c r="C117" s="8">
        <v>46030</v>
      </c>
      <c r="D117" s="7" t="s">
        <v>76</v>
      </c>
      <c r="E117" s="7" t="str">
        <f>IFERROR(INDEX(Restaurants!$B$2:$B$6,MATCH(D117,Restaurants!$A$2:$A$6,0)),"")</f>
        <v>Trailhead Burger Co. #102 - Austin, TX</v>
      </c>
      <c r="F117" s="7" t="s">
        <v>41</v>
      </c>
      <c r="G117" s="7" t="str">
        <f>IFERROR(INDEX(Chart_of_Accounts!$B$2:$B$18,MATCH(F117,Chart_of_Accounts!$A$2:$A$18,0)),"")</f>
        <v>Accounts Payable</v>
      </c>
      <c r="H117" s="7" t="str">
        <f>IFERROR(INDEX(Chart_of_Accounts!$C$2:$C$18,MATCH(F117,Chart_of_Accounts!$A$2:$A$18,0)),"")</f>
        <v>Liability</v>
      </c>
      <c r="I117" s="9"/>
      <c r="J117" s="9">
        <v>36508.5</v>
      </c>
      <c r="K117" s="7" t="s">
        <v>146</v>
      </c>
      <c r="L117" s="7" t="s">
        <v>113</v>
      </c>
      <c r="M117" s="7" t="s">
        <v>114</v>
      </c>
      <c r="N117" s="7" t="s">
        <v>86</v>
      </c>
      <c r="O117" s="7" t="str">
        <f>IFERROR(INDEX(Vendors!$B$2:$B$10,MATCH(N117,Vendors!$A$2:$A$10,0)),"")</f>
        <v>Gulf Coast Meat Supply</v>
      </c>
      <c r="P117" s="7" t="s">
        <v>147</v>
      </c>
    </row>
    <row r="118" spans="1:16" x14ac:dyDescent="0.25">
      <c r="A118" s="7">
        <v>59</v>
      </c>
      <c r="B118" s="7" t="s">
        <v>196</v>
      </c>
      <c r="C118" s="8">
        <v>46050</v>
      </c>
      <c r="D118" s="7" t="s">
        <v>76</v>
      </c>
      <c r="E118" s="7" t="str">
        <f>IFERROR(INDEX(Restaurants!$B$2:$B$6,MATCH(D118,Restaurants!$A$2:$A$6,0)),"")</f>
        <v>Trailhead Burger Co. #102 - Austin, TX</v>
      </c>
      <c r="F118" s="7" t="s">
        <v>55</v>
      </c>
      <c r="G118" s="7" t="str">
        <f>IFERROR(INDEX(Chart_of_Accounts!$B$2:$B$18,MATCH(F118,Chart_of_Accounts!$A$2:$A$18,0)),"")</f>
        <v>Food Cost</v>
      </c>
      <c r="H118" s="7" t="str">
        <f>IFERROR(INDEX(Chart_of_Accounts!$C$2:$C$18,MATCH(F118,Chart_of_Accounts!$A$2:$A$18,0)),"")</f>
        <v>Expense</v>
      </c>
      <c r="I118" s="9">
        <v>34770</v>
      </c>
      <c r="J118" s="9"/>
      <c r="K118" s="7" t="s">
        <v>149</v>
      </c>
      <c r="L118" s="7" t="s">
        <v>113</v>
      </c>
      <c r="M118" s="7" t="s">
        <v>114</v>
      </c>
      <c r="N118" s="7" t="s">
        <v>86</v>
      </c>
      <c r="O118" s="7" t="str">
        <f>IFERROR(INDEX(Vendors!$B$2:$B$10,MATCH(N118,Vendors!$A$2:$A$10,0)),"")</f>
        <v>Gulf Coast Meat Supply</v>
      </c>
      <c r="P118" s="7" t="s">
        <v>136</v>
      </c>
    </row>
    <row r="119" spans="1:16" x14ac:dyDescent="0.25">
      <c r="A119" s="7">
        <v>59</v>
      </c>
      <c r="B119" s="7" t="s">
        <v>196</v>
      </c>
      <c r="C119" s="8">
        <v>46050</v>
      </c>
      <c r="D119" s="7" t="s">
        <v>76</v>
      </c>
      <c r="E119" s="7" t="str">
        <f>IFERROR(INDEX(Restaurants!$B$2:$B$6,MATCH(D119,Restaurants!$A$2:$A$6,0)),"")</f>
        <v>Trailhead Burger Co. #102 - Austin, TX</v>
      </c>
      <c r="F119" s="7" t="s">
        <v>37</v>
      </c>
      <c r="G119" s="7" t="str">
        <f>IFERROR(INDEX(Chart_of_Accounts!$B$2:$B$18,MATCH(F119,Chart_of_Accounts!$A$2:$A$18,0)),"")</f>
        <v>Inventory</v>
      </c>
      <c r="H119" s="7" t="str">
        <f>IFERROR(INDEX(Chart_of_Accounts!$C$2:$C$18,MATCH(F119,Chart_of_Accounts!$A$2:$A$18,0)),"")</f>
        <v>Asset</v>
      </c>
      <c r="I119" s="9"/>
      <c r="J119" s="9">
        <v>34770</v>
      </c>
      <c r="K119" s="7" t="s">
        <v>149</v>
      </c>
      <c r="L119" s="7" t="s">
        <v>113</v>
      </c>
      <c r="M119" s="7" t="s">
        <v>114</v>
      </c>
      <c r="N119" s="7" t="s">
        <v>86</v>
      </c>
      <c r="O119" s="7" t="str">
        <f>IFERROR(INDEX(Vendors!$B$2:$B$10,MATCH(N119,Vendors!$A$2:$A$10,0)),"")</f>
        <v>Gulf Coast Meat Supply</v>
      </c>
      <c r="P119" s="7" t="s">
        <v>136</v>
      </c>
    </row>
    <row r="120" spans="1:16" x14ac:dyDescent="0.25">
      <c r="A120" s="7">
        <v>60</v>
      </c>
      <c r="B120" s="7" t="s">
        <v>197</v>
      </c>
      <c r="C120" s="8">
        <v>46037</v>
      </c>
      <c r="D120" s="7" t="s">
        <v>76</v>
      </c>
      <c r="E120" s="7" t="str">
        <f>IFERROR(INDEX(Restaurants!$B$2:$B$6,MATCH(D120,Restaurants!$A$2:$A$6,0)),"")</f>
        <v>Trailhead Burger Co. #102 - Austin, TX</v>
      </c>
      <c r="F120" s="7" t="s">
        <v>58</v>
      </c>
      <c r="G120" s="7" t="str">
        <f>IFERROR(INDEX(Chart_of_Accounts!$B$2:$B$18,MATCH(F120,Chart_of_Accounts!$A$2:$A$18,0)),"")</f>
        <v>Labor</v>
      </c>
      <c r="H120" s="7" t="str">
        <f>IFERROR(INDEX(Chart_of_Accounts!$C$2:$C$18,MATCH(F120,Chart_of_Accounts!$A$2:$A$18,0)),"")</f>
        <v>Expense</v>
      </c>
      <c r="I120" s="9">
        <v>30134</v>
      </c>
      <c r="J120" s="9"/>
      <c r="K120" s="7" t="s">
        <v>151</v>
      </c>
      <c r="L120" s="7" t="s">
        <v>32</v>
      </c>
      <c r="M120" s="7" t="s">
        <v>114</v>
      </c>
      <c r="N120" s="7"/>
      <c r="O120" s="7"/>
      <c r="P120" s="7" t="s">
        <v>152</v>
      </c>
    </row>
    <row r="121" spans="1:16" x14ac:dyDescent="0.25">
      <c r="A121" s="7">
        <v>60</v>
      </c>
      <c r="B121" s="7" t="s">
        <v>197</v>
      </c>
      <c r="C121" s="8">
        <v>46037</v>
      </c>
      <c r="D121" s="7" t="s">
        <v>76</v>
      </c>
      <c r="E121" s="7" t="str">
        <f>IFERROR(INDEX(Restaurants!$B$2:$B$6,MATCH(D121,Restaurants!$A$2:$A$6,0)),"")</f>
        <v>Trailhead Burger Co. #102 - Austin, TX</v>
      </c>
      <c r="F121" s="7" t="s">
        <v>31</v>
      </c>
      <c r="G121" s="7" t="str">
        <f>IFERROR(INDEX(Chart_of_Accounts!$B$2:$B$18,MATCH(F121,Chart_of_Accounts!$A$2:$A$18,0)),"")</f>
        <v>Cash</v>
      </c>
      <c r="H121" s="7" t="str">
        <f>IFERROR(INDEX(Chart_of_Accounts!$C$2:$C$18,MATCH(F121,Chart_of_Accounts!$A$2:$A$18,0)),"")</f>
        <v>Asset</v>
      </c>
      <c r="I121" s="9"/>
      <c r="J121" s="9">
        <v>30134</v>
      </c>
      <c r="K121" s="7" t="s">
        <v>151</v>
      </c>
      <c r="L121" s="7" t="s">
        <v>32</v>
      </c>
      <c r="M121" s="7" t="s">
        <v>114</v>
      </c>
      <c r="N121" s="7"/>
      <c r="O121" s="7"/>
      <c r="P121" s="7" t="s">
        <v>152</v>
      </c>
    </row>
    <row r="122" spans="1:16" x14ac:dyDescent="0.25">
      <c r="A122" s="7">
        <v>61</v>
      </c>
      <c r="B122" s="7" t="s">
        <v>198</v>
      </c>
      <c r="C122" s="8">
        <v>46023</v>
      </c>
      <c r="D122" s="7" t="s">
        <v>76</v>
      </c>
      <c r="E122" s="7" t="str">
        <f>IFERROR(INDEX(Restaurants!$B$2:$B$6,MATCH(D122,Restaurants!$A$2:$A$6,0)),"")</f>
        <v>Trailhead Burger Co. #102 - Austin, TX</v>
      </c>
      <c r="F122" s="7" t="s">
        <v>60</v>
      </c>
      <c r="G122" s="7" t="str">
        <f>IFERROR(INDEX(Chart_of_Accounts!$B$2:$B$18,MATCH(F122,Chart_of_Accounts!$A$2:$A$18,0)),"")</f>
        <v>Rent</v>
      </c>
      <c r="H122" s="7" t="str">
        <f>IFERROR(INDEX(Chart_of_Accounts!$C$2:$C$18,MATCH(F122,Chart_of_Accounts!$A$2:$A$18,0)),"")</f>
        <v>Expense</v>
      </c>
      <c r="I122" s="9">
        <v>9000</v>
      </c>
      <c r="J122" s="9"/>
      <c r="K122" s="7" t="s">
        <v>154</v>
      </c>
      <c r="L122" s="7" t="s">
        <v>32</v>
      </c>
      <c r="M122" s="7" t="s">
        <v>114</v>
      </c>
      <c r="N122" s="7" t="s">
        <v>98</v>
      </c>
      <c r="O122" s="7" t="str">
        <f>IFERROR(INDEX(Vendors!$B$2:$B$10,MATCH(N122,Vendors!$A$2:$A$10,0)),"")</f>
        <v>Prime Property Management</v>
      </c>
      <c r="P122" s="7" t="s">
        <v>115</v>
      </c>
    </row>
    <row r="123" spans="1:16" x14ac:dyDescent="0.25">
      <c r="A123" s="7">
        <v>61</v>
      </c>
      <c r="B123" s="7" t="s">
        <v>198</v>
      </c>
      <c r="C123" s="8">
        <v>46023</v>
      </c>
      <c r="D123" s="7" t="s">
        <v>76</v>
      </c>
      <c r="E123" s="7" t="str">
        <f>IFERROR(INDEX(Restaurants!$B$2:$B$6,MATCH(D123,Restaurants!$A$2:$A$6,0)),"")</f>
        <v>Trailhead Burger Co. #102 - Austin, TX</v>
      </c>
      <c r="F123" s="7" t="s">
        <v>31</v>
      </c>
      <c r="G123" s="7" t="str">
        <f>IFERROR(INDEX(Chart_of_Accounts!$B$2:$B$18,MATCH(F123,Chart_of_Accounts!$A$2:$A$18,0)),"")</f>
        <v>Cash</v>
      </c>
      <c r="H123" s="7" t="str">
        <f>IFERROR(INDEX(Chart_of_Accounts!$C$2:$C$18,MATCH(F123,Chart_of_Accounts!$A$2:$A$18,0)),"")</f>
        <v>Asset</v>
      </c>
      <c r="I123" s="9"/>
      <c r="J123" s="9">
        <v>9000</v>
      </c>
      <c r="K123" s="7" t="s">
        <v>154</v>
      </c>
      <c r="L123" s="7" t="s">
        <v>32</v>
      </c>
      <c r="M123" s="7" t="s">
        <v>114</v>
      </c>
      <c r="N123" s="7" t="s">
        <v>98</v>
      </c>
      <c r="O123" s="7" t="str">
        <f>IFERROR(INDEX(Vendors!$B$2:$B$10,MATCH(N123,Vendors!$A$2:$A$10,0)),"")</f>
        <v>Prime Property Management</v>
      </c>
      <c r="P123" s="7" t="s">
        <v>115</v>
      </c>
    </row>
    <row r="124" spans="1:16" x14ac:dyDescent="0.25">
      <c r="A124" s="7">
        <v>62</v>
      </c>
      <c r="B124" s="7" t="s">
        <v>199</v>
      </c>
      <c r="C124" s="8">
        <v>46042</v>
      </c>
      <c r="D124" s="7" t="s">
        <v>76</v>
      </c>
      <c r="E124" s="7" t="str">
        <f>IFERROR(INDEX(Restaurants!$B$2:$B$6,MATCH(D124,Restaurants!$A$2:$A$6,0)),"")</f>
        <v>Trailhead Burger Co. #102 - Austin, TX</v>
      </c>
      <c r="F124" s="7" t="s">
        <v>62</v>
      </c>
      <c r="G124" s="7" t="str">
        <f>IFERROR(INDEX(Chart_of_Accounts!$B$2:$B$18,MATCH(F124,Chart_of_Accounts!$A$2:$A$18,0)),"")</f>
        <v>Utilities</v>
      </c>
      <c r="H124" s="7" t="str">
        <f>IFERROR(INDEX(Chart_of_Accounts!$C$2:$C$18,MATCH(F124,Chart_of_Accounts!$A$2:$A$18,0)),"")</f>
        <v>Expense</v>
      </c>
      <c r="I124" s="9">
        <v>2400</v>
      </c>
      <c r="J124" s="9"/>
      <c r="K124" s="7" t="s">
        <v>156</v>
      </c>
      <c r="L124" s="7" t="s">
        <v>32</v>
      </c>
      <c r="M124" s="7" t="s">
        <v>114</v>
      </c>
      <c r="N124" s="7" t="s">
        <v>96</v>
      </c>
      <c r="O124" s="7" t="str">
        <f>IFERROR(INDEX(Vendors!$B$2:$B$10,MATCH(N124,Vendors!$A$2:$A$10,0)),"")</f>
        <v>CityWide Utilities</v>
      </c>
      <c r="P124" s="7" t="s">
        <v>157</v>
      </c>
    </row>
    <row r="125" spans="1:16" x14ac:dyDescent="0.25">
      <c r="A125" s="7">
        <v>62</v>
      </c>
      <c r="B125" s="7" t="s">
        <v>199</v>
      </c>
      <c r="C125" s="8">
        <v>46042</v>
      </c>
      <c r="D125" s="7" t="s">
        <v>76</v>
      </c>
      <c r="E125" s="7" t="str">
        <f>IFERROR(INDEX(Restaurants!$B$2:$B$6,MATCH(D125,Restaurants!$A$2:$A$6,0)),"")</f>
        <v>Trailhead Burger Co. #102 - Austin, TX</v>
      </c>
      <c r="F125" s="7" t="s">
        <v>31</v>
      </c>
      <c r="G125" s="7" t="str">
        <f>IFERROR(INDEX(Chart_of_Accounts!$B$2:$B$18,MATCH(F125,Chart_of_Accounts!$A$2:$A$18,0)),"")</f>
        <v>Cash</v>
      </c>
      <c r="H125" s="7" t="str">
        <f>IFERROR(INDEX(Chart_of_Accounts!$C$2:$C$18,MATCH(F125,Chart_of_Accounts!$A$2:$A$18,0)),"")</f>
        <v>Asset</v>
      </c>
      <c r="I125" s="9"/>
      <c r="J125" s="9">
        <v>2400</v>
      </c>
      <c r="K125" s="7" t="s">
        <v>156</v>
      </c>
      <c r="L125" s="7" t="s">
        <v>32</v>
      </c>
      <c r="M125" s="7" t="s">
        <v>114</v>
      </c>
      <c r="N125" s="7" t="s">
        <v>96</v>
      </c>
      <c r="O125" s="7" t="str">
        <f>IFERROR(INDEX(Vendors!$B$2:$B$10,MATCH(N125,Vendors!$A$2:$A$10,0)),"")</f>
        <v>CityWide Utilities</v>
      </c>
      <c r="P125" s="7" t="s">
        <v>157</v>
      </c>
    </row>
    <row r="126" spans="1:16" x14ac:dyDescent="0.25">
      <c r="A126" s="7">
        <v>63</v>
      </c>
      <c r="B126" s="7" t="s">
        <v>200</v>
      </c>
      <c r="C126" s="8">
        <v>46050</v>
      </c>
      <c r="D126" s="7" t="s">
        <v>76</v>
      </c>
      <c r="E126" s="7" t="str">
        <f>IFERROR(INDEX(Restaurants!$B$2:$B$6,MATCH(D126,Restaurants!$A$2:$A$6,0)),"")</f>
        <v>Trailhead Burger Co. #102 - Austin, TX</v>
      </c>
      <c r="F126" s="7" t="s">
        <v>66</v>
      </c>
      <c r="G126" s="7" t="str">
        <f>IFERROR(INDEX(Chart_of_Accounts!$B$2:$B$18,MATCH(F126,Chart_of_Accounts!$A$2:$A$18,0)),"")</f>
        <v>CC Processing Fees</v>
      </c>
      <c r="H126" s="7" t="str">
        <f>IFERROR(INDEX(Chart_of_Accounts!$C$2:$C$18,MATCH(F126,Chart_of_Accounts!$A$2:$A$18,0)),"")</f>
        <v>Expense</v>
      </c>
      <c r="I126" s="9">
        <v>2897.5</v>
      </c>
      <c r="J126" s="9"/>
      <c r="K126" s="7" t="s">
        <v>159</v>
      </c>
      <c r="L126" s="7" t="s">
        <v>32</v>
      </c>
      <c r="M126" s="7" t="s">
        <v>114</v>
      </c>
      <c r="N126" s="7"/>
      <c r="O126" s="7"/>
      <c r="P126" s="7" t="s">
        <v>115</v>
      </c>
    </row>
    <row r="127" spans="1:16" x14ac:dyDescent="0.25">
      <c r="A127" s="7">
        <v>63</v>
      </c>
      <c r="B127" s="7" t="s">
        <v>200</v>
      </c>
      <c r="C127" s="8">
        <v>46050</v>
      </c>
      <c r="D127" s="7" t="s">
        <v>76</v>
      </c>
      <c r="E127" s="7" t="str">
        <f>IFERROR(INDEX(Restaurants!$B$2:$B$6,MATCH(D127,Restaurants!$A$2:$A$6,0)),"")</f>
        <v>Trailhead Burger Co. #102 - Austin, TX</v>
      </c>
      <c r="F127" s="7" t="s">
        <v>31</v>
      </c>
      <c r="G127" s="7" t="str">
        <f>IFERROR(INDEX(Chart_of_Accounts!$B$2:$B$18,MATCH(F127,Chart_of_Accounts!$A$2:$A$18,0)),"")</f>
        <v>Cash</v>
      </c>
      <c r="H127" s="7" t="str">
        <f>IFERROR(INDEX(Chart_of_Accounts!$C$2:$C$18,MATCH(F127,Chart_of_Accounts!$A$2:$A$18,0)),"")</f>
        <v>Asset</v>
      </c>
      <c r="I127" s="9"/>
      <c r="J127" s="9">
        <v>2897.5</v>
      </c>
      <c r="K127" s="7" t="s">
        <v>159</v>
      </c>
      <c r="L127" s="7" t="s">
        <v>32</v>
      </c>
      <c r="M127" s="7" t="s">
        <v>114</v>
      </c>
      <c r="N127" s="7"/>
      <c r="O127" s="7"/>
      <c r="P127" s="7" t="s">
        <v>115</v>
      </c>
    </row>
    <row r="128" spans="1:16" x14ac:dyDescent="0.25">
      <c r="A128" s="7">
        <v>64</v>
      </c>
      <c r="B128" s="7" t="s">
        <v>201</v>
      </c>
      <c r="C128" s="8">
        <v>46034</v>
      </c>
      <c r="D128" s="7" t="s">
        <v>76</v>
      </c>
      <c r="E128" s="7" t="str">
        <f>IFERROR(INDEX(Restaurants!$B$2:$B$6,MATCH(D128,Restaurants!$A$2:$A$6,0)),"")</f>
        <v>Trailhead Burger Co. #102 - Austin, TX</v>
      </c>
      <c r="F128" s="7" t="s">
        <v>68</v>
      </c>
      <c r="G128" s="7" t="str">
        <f>IFERROR(INDEX(Chart_of_Accounts!$B$2:$B$18,MATCH(F128,Chart_of_Accounts!$A$2:$A$18,0)),"")</f>
        <v>Marketing</v>
      </c>
      <c r="H128" s="7" t="str">
        <f>IFERROR(INDEX(Chart_of_Accounts!$C$2:$C$18,MATCH(F128,Chart_of_Accounts!$A$2:$A$18,0)),"")</f>
        <v>Expense</v>
      </c>
      <c r="I128" s="9">
        <v>3477</v>
      </c>
      <c r="J128" s="9"/>
      <c r="K128" s="7" t="s">
        <v>161</v>
      </c>
      <c r="L128" s="7" t="s">
        <v>32</v>
      </c>
      <c r="M128" s="7" t="s">
        <v>114</v>
      </c>
      <c r="N128" s="7" t="s">
        <v>100</v>
      </c>
      <c r="O128" s="7" t="str">
        <f>IFERROR(INDEX(Vendors!$B$2:$B$10,MATCH(N128,Vendors!$A$2:$A$10,0)),"")</f>
        <v>BrightSign Marketing Agency</v>
      </c>
      <c r="P128" s="7" t="s">
        <v>69</v>
      </c>
    </row>
    <row r="129" spans="1:16" x14ac:dyDescent="0.25">
      <c r="A129" s="7">
        <v>64</v>
      </c>
      <c r="B129" s="7" t="s">
        <v>201</v>
      </c>
      <c r="C129" s="8">
        <v>46034</v>
      </c>
      <c r="D129" s="7" t="s">
        <v>76</v>
      </c>
      <c r="E129" s="7" t="str">
        <f>IFERROR(INDEX(Restaurants!$B$2:$B$6,MATCH(D129,Restaurants!$A$2:$A$6,0)),"")</f>
        <v>Trailhead Burger Co. #102 - Austin, TX</v>
      </c>
      <c r="F129" s="7" t="s">
        <v>31</v>
      </c>
      <c r="G129" s="7" t="str">
        <f>IFERROR(INDEX(Chart_of_Accounts!$B$2:$B$18,MATCH(F129,Chart_of_Accounts!$A$2:$A$18,0)),"")</f>
        <v>Cash</v>
      </c>
      <c r="H129" s="7" t="str">
        <f>IFERROR(INDEX(Chart_of_Accounts!$C$2:$C$18,MATCH(F129,Chart_of_Accounts!$A$2:$A$18,0)),"")</f>
        <v>Asset</v>
      </c>
      <c r="I129" s="9"/>
      <c r="J129" s="9">
        <v>3477</v>
      </c>
      <c r="K129" s="7" t="s">
        <v>161</v>
      </c>
      <c r="L129" s="7" t="s">
        <v>32</v>
      </c>
      <c r="M129" s="7" t="s">
        <v>114</v>
      </c>
      <c r="N129" s="7" t="s">
        <v>100</v>
      </c>
      <c r="O129" s="7" t="str">
        <f>IFERROR(INDEX(Vendors!$B$2:$B$10,MATCH(N129,Vendors!$A$2:$A$10,0)),"")</f>
        <v>BrightSign Marketing Agency</v>
      </c>
      <c r="P129" s="7" t="s">
        <v>69</v>
      </c>
    </row>
    <row r="130" spans="1:16" x14ac:dyDescent="0.25">
      <c r="A130" s="7">
        <v>65</v>
      </c>
      <c r="B130" s="7" t="s">
        <v>202</v>
      </c>
      <c r="C130" s="8">
        <v>46052</v>
      </c>
      <c r="D130" s="7" t="s">
        <v>76</v>
      </c>
      <c r="E130" s="7" t="str">
        <f>IFERROR(INDEX(Restaurants!$B$2:$B$6,MATCH(D130,Restaurants!$A$2:$A$6,0)),"")</f>
        <v>Trailhead Burger Co. #102 - Austin, TX</v>
      </c>
      <c r="F130" s="7" t="s">
        <v>70</v>
      </c>
      <c r="G130" s="7" t="str">
        <f>IFERROR(INDEX(Chart_of_Accounts!$B$2:$B$18,MATCH(F130,Chart_of_Accounts!$A$2:$A$18,0)),"")</f>
        <v>Franchise Fees</v>
      </c>
      <c r="H130" s="7" t="str">
        <f>IFERROR(INDEX(Chart_of_Accounts!$C$2:$C$18,MATCH(F130,Chart_of_Accounts!$A$2:$A$18,0)),"")</f>
        <v>Expense</v>
      </c>
      <c r="I130" s="9">
        <v>4636</v>
      </c>
      <c r="J130" s="9"/>
      <c r="K130" s="7" t="s">
        <v>163</v>
      </c>
      <c r="L130" s="7" t="s">
        <v>32</v>
      </c>
      <c r="M130" s="7" t="s">
        <v>114</v>
      </c>
      <c r="N130" s="7" t="s">
        <v>102</v>
      </c>
      <c r="O130" s="7" t="str">
        <f>IFERROR(INDEX(Vendors!$B$2:$B$10,MATCH(N130,Vendors!$A$2:$A$10,0)),"")</f>
        <v>Trailhead Burger Co. - Corporate</v>
      </c>
      <c r="P130" s="7" t="s">
        <v>115</v>
      </c>
    </row>
    <row r="131" spans="1:16" x14ac:dyDescent="0.25">
      <c r="A131" s="7">
        <v>65</v>
      </c>
      <c r="B131" s="7" t="s">
        <v>202</v>
      </c>
      <c r="C131" s="8">
        <v>46052</v>
      </c>
      <c r="D131" s="7" t="s">
        <v>76</v>
      </c>
      <c r="E131" s="7" t="str">
        <f>IFERROR(INDEX(Restaurants!$B$2:$B$6,MATCH(D131,Restaurants!$A$2:$A$6,0)),"")</f>
        <v>Trailhead Burger Co. #102 - Austin, TX</v>
      </c>
      <c r="F131" s="7" t="s">
        <v>31</v>
      </c>
      <c r="G131" s="7" t="str">
        <f>IFERROR(INDEX(Chart_of_Accounts!$B$2:$B$18,MATCH(F131,Chart_of_Accounts!$A$2:$A$18,0)),"")</f>
        <v>Cash</v>
      </c>
      <c r="H131" s="7" t="str">
        <f>IFERROR(INDEX(Chart_of_Accounts!$C$2:$C$18,MATCH(F131,Chart_of_Accounts!$A$2:$A$18,0)),"")</f>
        <v>Asset</v>
      </c>
      <c r="I131" s="9"/>
      <c r="J131" s="9">
        <v>4636</v>
      </c>
      <c r="K131" s="7" t="s">
        <v>163</v>
      </c>
      <c r="L131" s="7" t="s">
        <v>32</v>
      </c>
      <c r="M131" s="7" t="s">
        <v>114</v>
      </c>
      <c r="N131" s="7" t="s">
        <v>102</v>
      </c>
      <c r="O131" s="7" t="str">
        <f>IFERROR(INDEX(Vendors!$B$2:$B$10,MATCH(N131,Vendors!$A$2:$A$10,0)),"")</f>
        <v>Trailhead Burger Co. - Corporate</v>
      </c>
      <c r="P131" s="7" t="s">
        <v>115</v>
      </c>
    </row>
    <row r="132" spans="1:16" x14ac:dyDescent="0.25">
      <c r="A132" s="7">
        <v>66</v>
      </c>
      <c r="B132" s="7" t="s">
        <v>203</v>
      </c>
      <c r="C132" s="8">
        <v>46058</v>
      </c>
      <c r="D132" s="7" t="s">
        <v>76</v>
      </c>
      <c r="E132" s="7" t="str">
        <f>IFERROR(INDEX(Restaurants!$B$2:$B$6,MATCH(D132,Restaurants!$A$2:$A$6,0)),"")</f>
        <v>Trailhead Burger Co. #102 - Austin, TX</v>
      </c>
      <c r="F132" s="7" t="s">
        <v>31</v>
      </c>
      <c r="G132" s="7" t="str">
        <f>IFERROR(INDEX(Chart_of_Accounts!$B$2:$B$18,MATCH(F132,Chart_of_Accounts!$A$2:$A$18,0)),"")</f>
        <v>Cash</v>
      </c>
      <c r="H132" s="7" t="str">
        <f>IFERROR(INDEX(Chart_of_Accounts!$C$2:$C$18,MATCH(F132,Chart_of_Accounts!$A$2:$A$18,0)),"")</f>
        <v>Asset</v>
      </c>
      <c r="I132" s="9">
        <v>96900</v>
      </c>
      <c r="J132" s="9"/>
      <c r="K132" s="7" t="s">
        <v>134</v>
      </c>
      <c r="L132" s="7" t="s">
        <v>32</v>
      </c>
      <c r="M132" s="7" t="s">
        <v>135</v>
      </c>
      <c r="N132" s="7"/>
      <c r="O132" s="7"/>
      <c r="P132" s="7" t="s">
        <v>136</v>
      </c>
    </row>
    <row r="133" spans="1:16" x14ac:dyDescent="0.25">
      <c r="A133" s="7">
        <v>66</v>
      </c>
      <c r="B133" s="7" t="s">
        <v>203</v>
      </c>
      <c r="C133" s="8">
        <v>46058</v>
      </c>
      <c r="D133" s="7" t="s">
        <v>76</v>
      </c>
      <c r="E133" s="7" t="str">
        <f>IFERROR(INDEX(Restaurants!$B$2:$B$6,MATCH(D133,Restaurants!$A$2:$A$6,0)),"")</f>
        <v>Trailhead Burger Co. #102 - Austin, TX</v>
      </c>
      <c r="F133" s="7" t="s">
        <v>50</v>
      </c>
      <c r="G133" s="7" t="str">
        <f>IFERROR(INDEX(Chart_of_Accounts!$B$2:$B$18,MATCH(F133,Chart_of_Accounts!$A$2:$A$18,0)),"")</f>
        <v>Restaurant Sales</v>
      </c>
      <c r="H133" s="7" t="str">
        <f>IFERROR(INDEX(Chart_of_Accounts!$C$2:$C$18,MATCH(F133,Chart_of_Accounts!$A$2:$A$18,0)),"")</f>
        <v>Revenue</v>
      </c>
      <c r="I133" s="9"/>
      <c r="J133" s="9">
        <v>96900</v>
      </c>
      <c r="K133" s="7" t="s">
        <v>134</v>
      </c>
      <c r="L133" s="7" t="s">
        <v>32</v>
      </c>
      <c r="M133" s="7" t="s">
        <v>135</v>
      </c>
      <c r="N133" s="7"/>
      <c r="O133" s="7"/>
      <c r="P133" s="7" t="s">
        <v>136</v>
      </c>
    </row>
    <row r="134" spans="1:16" x14ac:dyDescent="0.25">
      <c r="A134" s="7">
        <v>67</v>
      </c>
      <c r="B134" s="7" t="s">
        <v>204</v>
      </c>
      <c r="C134" s="8">
        <v>46060</v>
      </c>
      <c r="D134" s="7" t="s">
        <v>76</v>
      </c>
      <c r="E134" s="7" t="str">
        <f>IFERROR(INDEX(Restaurants!$B$2:$B$6,MATCH(D134,Restaurants!$A$2:$A$6,0)),"")</f>
        <v>Trailhead Burger Co. #102 - Austin, TX</v>
      </c>
      <c r="F134" s="7" t="s">
        <v>35</v>
      </c>
      <c r="G134" s="7" t="str">
        <f>IFERROR(INDEX(Chart_of_Accounts!$B$2:$B$18,MATCH(F134,Chart_of_Accounts!$A$2:$A$18,0)),"")</f>
        <v>Accounts Receivable</v>
      </c>
      <c r="H134" s="7" t="str">
        <f>IFERROR(INDEX(Chart_of_Accounts!$C$2:$C$18,MATCH(F134,Chart_of_Accounts!$A$2:$A$18,0)),"")</f>
        <v>Asset</v>
      </c>
      <c r="I134" s="9">
        <v>21318</v>
      </c>
      <c r="J134" s="9"/>
      <c r="K134" s="7" t="s">
        <v>138</v>
      </c>
      <c r="L134" s="7" t="s">
        <v>139</v>
      </c>
      <c r="M134" s="7" t="s">
        <v>140</v>
      </c>
      <c r="N134" s="7" t="s">
        <v>94</v>
      </c>
      <c r="O134" s="7" t="str">
        <f>IFERROR(INDEX(Vendors!$B$2:$B$10,MATCH(N134,Vendors!$A$2:$A$10,0)),"")</f>
        <v>QuickDash Delivery Platform</v>
      </c>
      <c r="P134" s="7" t="s">
        <v>136</v>
      </c>
    </row>
    <row r="135" spans="1:16" x14ac:dyDescent="0.25">
      <c r="A135" s="7">
        <v>67</v>
      </c>
      <c r="B135" s="7" t="s">
        <v>204</v>
      </c>
      <c r="C135" s="8">
        <v>46060</v>
      </c>
      <c r="D135" s="7" t="s">
        <v>76</v>
      </c>
      <c r="E135" s="7" t="str">
        <f>IFERROR(INDEX(Restaurants!$B$2:$B$6,MATCH(D135,Restaurants!$A$2:$A$6,0)),"")</f>
        <v>Trailhead Burger Co. #102 - Austin, TX</v>
      </c>
      <c r="F135" s="7" t="s">
        <v>53</v>
      </c>
      <c r="G135" s="7" t="str">
        <f>IFERROR(INDEX(Chart_of_Accounts!$B$2:$B$18,MATCH(F135,Chart_of_Accounts!$A$2:$A$18,0)),"")</f>
        <v>Delivery Sales</v>
      </c>
      <c r="H135" s="7" t="str">
        <f>IFERROR(INDEX(Chart_of_Accounts!$C$2:$C$18,MATCH(F135,Chart_of_Accounts!$A$2:$A$18,0)),"")</f>
        <v>Revenue</v>
      </c>
      <c r="I135" s="9"/>
      <c r="J135" s="9">
        <v>21318</v>
      </c>
      <c r="K135" s="7" t="s">
        <v>138</v>
      </c>
      <c r="L135" s="7" t="s">
        <v>139</v>
      </c>
      <c r="M135" s="7" t="s">
        <v>140</v>
      </c>
      <c r="N135" s="7" t="s">
        <v>94</v>
      </c>
      <c r="O135" s="7" t="str">
        <f>IFERROR(INDEX(Vendors!$B$2:$B$10,MATCH(N135,Vendors!$A$2:$A$10,0)),"")</f>
        <v>QuickDash Delivery Platform</v>
      </c>
      <c r="P135" s="7" t="s">
        <v>136</v>
      </c>
    </row>
    <row r="136" spans="1:16" x14ac:dyDescent="0.25">
      <c r="A136" s="7">
        <v>68</v>
      </c>
      <c r="B136" s="7" t="s">
        <v>205</v>
      </c>
      <c r="C136" s="8">
        <v>46063</v>
      </c>
      <c r="D136" s="7" t="s">
        <v>76</v>
      </c>
      <c r="E136" s="7" t="str">
        <f>IFERROR(INDEX(Restaurants!$B$2:$B$6,MATCH(D136,Restaurants!$A$2:$A$6,0)),"")</f>
        <v>Trailhead Burger Co. #102 - Austin, TX</v>
      </c>
      <c r="F136" s="7" t="s">
        <v>31</v>
      </c>
      <c r="G136" s="7" t="str">
        <f>IFERROR(INDEX(Chart_of_Accounts!$B$2:$B$18,MATCH(F136,Chart_of_Accounts!$A$2:$A$18,0)),"")</f>
        <v>Cash</v>
      </c>
      <c r="H136" s="7" t="str">
        <f>IFERROR(INDEX(Chart_of_Accounts!$C$2:$C$18,MATCH(F136,Chart_of_Accounts!$A$2:$A$18,0)),"")</f>
        <v>Asset</v>
      </c>
      <c r="I136" s="9">
        <v>21318</v>
      </c>
      <c r="J136" s="9"/>
      <c r="K136" s="7" t="s">
        <v>142</v>
      </c>
      <c r="L136" s="7" t="s">
        <v>139</v>
      </c>
      <c r="M136" s="7" t="s">
        <v>140</v>
      </c>
      <c r="N136" s="7" t="s">
        <v>94</v>
      </c>
      <c r="O136" s="7" t="str">
        <f>IFERROR(INDEX(Vendors!$B$2:$B$10,MATCH(N136,Vendors!$A$2:$A$10,0)),"")</f>
        <v>QuickDash Delivery Platform</v>
      </c>
      <c r="P136" s="7" t="s">
        <v>136</v>
      </c>
    </row>
    <row r="137" spans="1:16" x14ac:dyDescent="0.25">
      <c r="A137" s="7">
        <v>68</v>
      </c>
      <c r="B137" s="7" t="s">
        <v>205</v>
      </c>
      <c r="C137" s="8">
        <v>46063</v>
      </c>
      <c r="D137" s="7" t="s">
        <v>76</v>
      </c>
      <c r="E137" s="7" t="str">
        <f>IFERROR(INDEX(Restaurants!$B$2:$B$6,MATCH(D137,Restaurants!$A$2:$A$6,0)),"")</f>
        <v>Trailhead Burger Co. #102 - Austin, TX</v>
      </c>
      <c r="F137" s="7" t="s">
        <v>35</v>
      </c>
      <c r="G137" s="7" t="str">
        <f>IFERROR(INDEX(Chart_of_Accounts!$B$2:$B$18,MATCH(F137,Chart_of_Accounts!$A$2:$A$18,0)),"")</f>
        <v>Accounts Receivable</v>
      </c>
      <c r="H137" s="7" t="str">
        <f>IFERROR(INDEX(Chart_of_Accounts!$C$2:$C$18,MATCH(F137,Chart_of_Accounts!$A$2:$A$18,0)),"")</f>
        <v>Asset</v>
      </c>
      <c r="I137" s="9"/>
      <c r="J137" s="9">
        <v>21318</v>
      </c>
      <c r="K137" s="7" t="s">
        <v>142</v>
      </c>
      <c r="L137" s="7" t="s">
        <v>139</v>
      </c>
      <c r="M137" s="7" t="s">
        <v>140</v>
      </c>
      <c r="N137" s="7" t="s">
        <v>94</v>
      </c>
      <c r="O137" s="7" t="str">
        <f>IFERROR(INDEX(Vendors!$B$2:$B$10,MATCH(N137,Vendors!$A$2:$A$10,0)),"")</f>
        <v>QuickDash Delivery Platform</v>
      </c>
      <c r="P137" s="7" t="s">
        <v>136</v>
      </c>
    </row>
    <row r="138" spans="1:16" x14ac:dyDescent="0.25">
      <c r="A138" s="7">
        <v>69</v>
      </c>
      <c r="B138" s="7" t="s">
        <v>206</v>
      </c>
      <c r="C138" s="8">
        <v>46063</v>
      </c>
      <c r="D138" s="7" t="s">
        <v>76</v>
      </c>
      <c r="E138" s="7" t="str">
        <f>IFERROR(INDEX(Restaurants!$B$2:$B$6,MATCH(D138,Restaurants!$A$2:$A$6,0)),"")</f>
        <v>Trailhead Burger Co. #102 - Austin, TX</v>
      </c>
      <c r="F138" s="7" t="s">
        <v>64</v>
      </c>
      <c r="G138" s="7" t="str">
        <f>IFERROR(INDEX(Chart_of_Accounts!$B$2:$B$18,MATCH(F138,Chart_of_Accounts!$A$2:$A$18,0)),"")</f>
        <v>Delivery Fees</v>
      </c>
      <c r="H138" s="7" t="str">
        <f>IFERROR(INDEX(Chart_of_Accounts!$C$2:$C$18,MATCH(F138,Chart_of_Accounts!$A$2:$A$18,0)),"")</f>
        <v>Expense</v>
      </c>
      <c r="I138" s="9">
        <v>3197.7</v>
      </c>
      <c r="J138" s="9"/>
      <c r="K138" s="7" t="s">
        <v>144</v>
      </c>
      <c r="L138" s="7" t="s">
        <v>32</v>
      </c>
      <c r="M138" s="7" t="s">
        <v>140</v>
      </c>
      <c r="N138" s="7" t="s">
        <v>94</v>
      </c>
      <c r="O138" s="7" t="str">
        <f>IFERROR(INDEX(Vendors!$B$2:$B$10,MATCH(N138,Vendors!$A$2:$A$10,0)),"")</f>
        <v>QuickDash Delivery Platform</v>
      </c>
      <c r="P138" s="7" t="s">
        <v>136</v>
      </c>
    </row>
    <row r="139" spans="1:16" x14ac:dyDescent="0.25">
      <c r="A139" s="7">
        <v>69</v>
      </c>
      <c r="B139" s="7" t="s">
        <v>206</v>
      </c>
      <c r="C139" s="8">
        <v>46063</v>
      </c>
      <c r="D139" s="7" t="s">
        <v>76</v>
      </c>
      <c r="E139" s="7" t="str">
        <f>IFERROR(INDEX(Restaurants!$B$2:$B$6,MATCH(D139,Restaurants!$A$2:$A$6,0)),"")</f>
        <v>Trailhead Burger Co. #102 - Austin, TX</v>
      </c>
      <c r="F139" s="7" t="s">
        <v>31</v>
      </c>
      <c r="G139" s="7" t="str">
        <f>IFERROR(INDEX(Chart_of_Accounts!$B$2:$B$18,MATCH(F139,Chart_of_Accounts!$A$2:$A$18,0)),"")</f>
        <v>Cash</v>
      </c>
      <c r="H139" s="7" t="str">
        <f>IFERROR(INDEX(Chart_of_Accounts!$C$2:$C$18,MATCH(F139,Chart_of_Accounts!$A$2:$A$18,0)),"")</f>
        <v>Asset</v>
      </c>
      <c r="I139" s="9"/>
      <c r="J139" s="9">
        <v>3197.7</v>
      </c>
      <c r="K139" s="7" t="s">
        <v>144</v>
      </c>
      <c r="L139" s="7" t="s">
        <v>32</v>
      </c>
      <c r="M139" s="7" t="s">
        <v>140</v>
      </c>
      <c r="N139" s="7" t="s">
        <v>94</v>
      </c>
      <c r="O139" s="7" t="str">
        <f>IFERROR(INDEX(Vendors!$B$2:$B$10,MATCH(N139,Vendors!$A$2:$A$10,0)),"")</f>
        <v>QuickDash Delivery Platform</v>
      </c>
      <c r="P139" s="7" t="s">
        <v>136</v>
      </c>
    </row>
    <row r="140" spans="1:16" x14ac:dyDescent="0.25">
      <c r="A140" s="7">
        <v>70</v>
      </c>
      <c r="B140" s="7" t="s">
        <v>207</v>
      </c>
      <c r="C140" s="8">
        <v>46061</v>
      </c>
      <c r="D140" s="7" t="s">
        <v>76</v>
      </c>
      <c r="E140" s="7" t="str">
        <f>IFERROR(INDEX(Restaurants!$B$2:$B$6,MATCH(D140,Restaurants!$A$2:$A$6,0)),"")</f>
        <v>Trailhead Burger Co. #102 - Austin, TX</v>
      </c>
      <c r="F140" s="7" t="s">
        <v>37</v>
      </c>
      <c r="G140" s="7" t="str">
        <f>IFERROR(INDEX(Chart_of_Accounts!$B$2:$B$18,MATCH(F140,Chart_of_Accounts!$A$2:$A$18,0)),"")</f>
        <v>Inventory</v>
      </c>
      <c r="H140" s="7" t="str">
        <f>IFERROR(INDEX(Chart_of_Accounts!$C$2:$C$18,MATCH(F140,Chart_of_Accounts!$A$2:$A$18,0)),"")</f>
        <v>Asset</v>
      </c>
      <c r="I140" s="9">
        <v>37238.67</v>
      </c>
      <c r="J140" s="9"/>
      <c r="K140" s="7" t="s">
        <v>146</v>
      </c>
      <c r="L140" s="7" t="s">
        <v>113</v>
      </c>
      <c r="M140" s="7" t="s">
        <v>114</v>
      </c>
      <c r="N140" s="7" t="s">
        <v>88</v>
      </c>
      <c r="O140" s="7" t="str">
        <f>IFERROR(INDEX(Vendors!$B$2:$B$10,MATCH(N140,Vendors!$A$2:$A$10,0)),"")</f>
        <v>Fresh Produce Partners</v>
      </c>
      <c r="P140" s="7" t="s">
        <v>147</v>
      </c>
    </row>
    <row r="141" spans="1:16" x14ac:dyDescent="0.25">
      <c r="A141" s="7">
        <v>70</v>
      </c>
      <c r="B141" s="7" t="s">
        <v>207</v>
      </c>
      <c r="C141" s="8">
        <v>46061</v>
      </c>
      <c r="D141" s="7" t="s">
        <v>76</v>
      </c>
      <c r="E141" s="7" t="str">
        <f>IFERROR(INDEX(Restaurants!$B$2:$B$6,MATCH(D141,Restaurants!$A$2:$A$6,0)),"")</f>
        <v>Trailhead Burger Co. #102 - Austin, TX</v>
      </c>
      <c r="F141" s="7" t="s">
        <v>41</v>
      </c>
      <c r="G141" s="7" t="str">
        <f>IFERROR(INDEX(Chart_of_Accounts!$B$2:$B$18,MATCH(F141,Chart_of_Accounts!$A$2:$A$18,0)),"")</f>
        <v>Accounts Payable</v>
      </c>
      <c r="H141" s="7" t="str">
        <f>IFERROR(INDEX(Chart_of_Accounts!$C$2:$C$18,MATCH(F141,Chart_of_Accounts!$A$2:$A$18,0)),"")</f>
        <v>Liability</v>
      </c>
      <c r="I141" s="9"/>
      <c r="J141" s="9">
        <v>37238.67</v>
      </c>
      <c r="K141" s="7" t="s">
        <v>146</v>
      </c>
      <c r="L141" s="7" t="s">
        <v>113</v>
      </c>
      <c r="M141" s="7" t="s">
        <v>114</v>
      </c>
      <c r="N141" s="7" t="s">
        <v>88</v>
      </c>
      <c r="O141" s="7" t="str">
        <f>IFERROR(INDEX(Vendors!$B$2:$B$10,MATCH(N141,Vendors!$A$2:$A$10,0)),"")</f>
        <v>Fresh Produce Partners</v>
      </c>
      <c r="P141" s="7" t="s">
        <v>147</v>
      </c>
    </row>
    <row r="142" spans="1:16" x14ac:dyDescent="0.25">
      <c r="A142" s="7">
        <v>71</v>
      </c>
      <c r="B142" s="7" t="s">
        <v>208</v>
      </c>
      <c r="C142" s="8">
        <v>46081</v>
      </c>
      <c r="D142" s="7" t="s">
        <v>76</v>
      </c>
      <c r="E142" s="7" t="str">
        <f>IFERROR(INDEX(Restaurants!$B$2:$B$6,MATCH(D142,Restaurants!$A$2:$A$6,0)),"")</f>
        <v>Trailhead Burger Co. #102 - Austin, TX</v>
      </c>
      <c r="F142" s="7" t="s">
        <v>55</v>
      </c>
      <c r="G142" s="7" t="str">
        <f>IFERROR(INDEX(Chart_of_Accounts!$B$2:$B$18,MATCH(F142,Chart_of_Accounts!$A$2:$A$18,0)),"")</f>
        <v>Food Cost</v>
      </c>
      <c r="H142" s="7" t="str">
        <f>IFERROR(INDEX(Chart_of_Accounts!$C$2:$C$18,MATCH(F142,Chart_of_Accounts!$A$2:$A$18,0)),"")</f>
        <v>Expense</v>
      </c>
      <c r="I142" s="9">
        <v>35465.4</v>
      </c>
      <c r="J142" s="9"/>
      <c r="K142" s="7" t="s">
        <v>149</v>
      </c>
      <c r="L142" s="7" t="s">
        <v>113</v>
      </c>
      <c r="M142" s="7" t="s">
        <v>114</v>
      </c>
      <c r="N142" s="7" t="s">
        <v>88</v>
      </c>
      <c r="O142" s="7" t="str">
        <f>IFERROR(INDEX(Vendors!$B$2:$B$10,MATCH(N142,Vendors!$A$2:$A$10,0)),"")</f>
        <v>Fresh Produce Partners</v>
      </c>
      <c r="P142" s="7" t="s">
        <v>136</v>
      </c>
    </row>
    <row r="143" spans="1:16" x14ac:dyDescent="0.25">
      <c r="A143" s="7">
        <v>71</v>
      </c>
      <c r="B143" s="7" t="s">
        <v>208</v>
      </c>
      <c r="C143" s="8">
        <v>46081</v>
      </c>
      <c r="D143" s="7" t="s">
        <v>76</v>
      </c>
      <c r="E143" s="7" t="str">
        <f>IFERROR(INDEX(Restaurants!$B$2:$B$6,MATCH(D143,Restaurants!$A$2:$A$6,0)),"")</f>
        <v>Trailhead Burger Co. #102 - Austin, TX</v>
      </c>
      <c r="F143" s="7" t="s">
        <v>37</v>
      </c>
      <c r="G143" s="7" t="str">
        <f>IFERROR(INDEX(Chart_of_Accounts!$B$2:$B$18,MATCH(F143,Chart_of_Accounts!$A$2:$A$18,0)),"")</f>
        <v>Inventory</v>
      </c>
      <c r="H143" s="7" t="str">
        <f>IFERROR(INDEX(Chart_of_Accounts!$C$2:$C$18,MATCH(F143,Chart_of_Accounts!$A$2:$A$18,0)),"")</f>
        <v>Asset</v>
      </c>
      <c r="I143" s="9"/>
      <c r="J143" s="9">
        <v>35465.4</v>
      </c>
      <c r="K143" s="7" t="s">
        <v>149</v>
      </c>
      <c r="L143" s="7" t="s">
        <v>113</v>
      </c>
      <c r="M143" s="7" t="s">
        <v>114</v>
      </c>
      <c r="N143" s="7" t="s">
        <v>88</v>
      </c>
      <c r="O143" s="7" t="str">
        <f>IFERROR(INDEX(Vendors!$B$2:$B$10,MATCH(N143,Vendors!$A$2:$A$10,0)),"")</f>
        <v>Fresh Produce Partners</v>
      </c>
      <c r="P143" s="7" t="s">
        <v>136</v>
      </c>
    </row>
    <row r="144" spans="1:16" x14ac:dyDescent="0.25">
      <c r="A144" s="7">
        <v>72</v>
      </c>
      <c r="B144" s="7" t="s">
        <v>209</v>
      </c>
      <c r="C144" s="8">
        <v>46068</v>
      </c>
      <c r="D144" s="7" t="s">
        <v>76</v>
      </c>
      <c r="E144" s="7" t="str">
        <f>IFERROR(INDEX(Restaurants!$B$2:$B$6,MATCH(D144,Restaurants!$A$2:$A$6,0)),"")</f>
        <v>Trailhead Burger Co. #102 - Austin, TX</v>
      </c>
      <c r="F144" s="7" t="s">
        <v>58</v>
      </c>
      <c r="G144" s="7" t="str">
        <f>IFERROR(INDEX(Chart_of_Accounts!$B$2:$B$18,MATCH(F144,Chart_of_Accounts!$A$2:$A$18,0)),"")</f>
        <v>Labor</v>
      </c>
      <c r="H144" s="7" t="str">
        <f>IFERROR(INDEX(Chart_of_Accounts!$C$2:$C$18,MATCH(F144,Chart_of_Accounts!$A$2:$A$18,0)),"")</f>
        <v>Expense</v>
      </c>
      <c r="I144" s="9">
        <v>30736.68</v>
      </c>
      <c r="J144" s="9"/>
      <c r="K144" s="7" t="s">
        <v>151</v>
      </c>
      <c r="L144" s="7" t="s">
        <v>32</v>
      </c>
      <c r="M144" s="7" t="s">
        <v>114</v>
      </c>
      <c r="N144" s="7"/>
      <c r="O144" s="7"/>
      <c r="P144" s="7" t="s">
        <v>152</v>
      </c>
    </row>
    <row r="145" spans="1:16" x14ac:dyDescent="0.25">
      <c r="A145" s="7">
        <v>72</v>
      </c>
      <c r="B145" s="7" t="s">
        <v>209</v>
      </c>
      <c r="C145" s="8">
        <v>46068</v>
      </c>
      <c r="D145" s="7" t="s">
        <v>76</v>
      </c>
      <c r="E145" s="7" t="str">
        <f>IFERROR(INDEX(Restaurants!$B$2:$B$6,MATCH(D145,Restaurants!$A$2:$A$6,0)),"")</f>
        <v>Trailhead Burger Co. #102 - Austin, TX</v>
      </c>
      <c r="F145" s="7" t="s">
        <v>31</v>
      </c>
      <c r="G145" s="7" t="str">
        <f>IFERROR(INDEX(Chart_of_Accounts!$B$2:$B$18,MATCH(F145,Chart_of_Accounts!$A$2:$A$18,0)),"")</f>
        <v>Cash</v>
      </c>
      <c r="H145" s="7" t="str">
        <f>IFERROR(INDEX(Chart_of_Accounts!$C$2:$C$18,MATCH(F145,Chart_of_Accounts!$A$2:$A$18,0)),"")</f>
        <v>Asset</v>
      </c>
      <c r="I145" s="9"/>
      <c r="J145" s="9">
        <v>30736.68</v>
      </c>
      <c r="K145" s="7" t="s">
        <v>151</v>
      </c>
      <c r="L145" s="7" t="s">
        <v>32</v>
      </c>
      <c r="M145" s="7" t="s">
        <v>114</v>
      </c>
      <c r="N145" s="7"/>
      <c r="O145" s="7"/>
      <c r="P145" s="7" t="s">
        <v>152</v>
      </c>
    </row>
    <row r="146" spans="1:16" x14ac:dyDescent="0.25">
      <c r="A146" s="7">
        <v>73</v>
      </c>
      <c r="B146" s="7" t="s">
        <v>210</v>
      </c>
      <c r="C146" s="8">
        <v>46054</v>
      </c>
      <c r="D146" s="7" t="s">
        <v>76</v>
      </c>
      <c r="E146" s="7" t="str">
        <f>IFERROR(INDEX(Restaurants!$B$2:$B$6,MATCH(D146,Restaurants!$A$2:$A$6,0)),"")</f>
        <v>Trailhead Burger Co. #102 - Austin, TX</v>
      </c>
      <c r="F146" s="7" t="s">
        <v>60</v>
      </c>
      <c r="G146" s="7" t="str">
        <f>IFERROR(INDEX(Chart_of_Accounts!$B$2:$B$18,MATCH(F146,Chart_of_Accounts!$A$2:$A$18,0)),"")</f>
        <v>Rent</v>
      </c>
      <c r="H146" s="7" t="str">
        <f>IFERROR(INDEX(Chart_of_Accounts!$C$2:$C$18,MATCH(F146,Chart_of_Accounts!$A$2:$A$18,0)),"")</f>
        <v>Expense</v>
      </c>
      <c r="I146" s="9">
        <v>9000</v>
      </c>
      <c r="J146" s="9"/>
      <c r="K146" s="7" t="s">
        <v>154</v>
      </c>
      <c r="L146" s="7" t="s">
        <v>32</v>
      </c>
      <c r="M146" s="7" t="s">
        <v>114</v>
      </c>
      <c r="N146" s="7" t="s">
        <v>98</v>
      </c>
      <c r="O146" s="7" t="str">
        <f>IFERROR(INDEX(Vendors!$B$2:$B$10,MATCH(N146,Vendors!$A$2:$A$10,0)),"")</f>
        <v>Prime Property Management</v>
      </c>
      <c r="P146" s="7" t="s">
        <v>115</v>
      </c>
    </row>
    <row r="147" spans="1:16" x14ac:dyDescent="0.25">
      <c r="A147" s="7">
        <v>73</v>
      </c>
      <c r="B147" s="7" t="s">
        <v>210</v>
      </c>
      <c r="C147" s="8">
        <v>46054</v>
      </c>
      <c r="D147" s="7" t="s">
        <v>76</v>
      </c>
      <c r="E147" s="7" t="str">
        <f>IFERROR(INDEX(Restaurants!$B$2:$B$6,MATCH(D147,Restaurants!$A$2:$A$6,0)),"")</f>
        <v>Trailhead Burger Co. #102 - Austin, TX</v>
      </c>
      <c r="F147" s="7" t="s">
        <v>31</v>
      </c>
      <c r="G147" s="7" t="str">
        <f>IFERROR(INDEX(Chart_of_Accounts!$B$2:$B$18,MATCH(F147,Chart_of_Accounts!$A$2:$A$18,0)),"")</f>
        <v>Cash</v>
      </c>
      <c r="H147" s="7" t="str">
        <f>IFERROR(INDEX(Chart_of_Accounts!$C$2:$C$18,MATCH(F147,Chart_of_Accounts!$A$2:$A$18,0)),"")</f>
        <v>Asset</v>
      </c>
      <c r="I147" s="9"/>
      <c r="J147" s="9">
        <v>9000</v>
      </c>
      <c r="K147" s="7" t="s">
        <v>154</v>
      </c>
      <c r="L147" s="7" t="s">
        <v>32</v>
      </c>
      <c r="M147" s="7" t="s">
        <v>114</v>
      </c>
      <c r="N147" s="7" t="s">
        <v>98</v>
      </c>
      <c r="O147" s="7" t="str">
        <f>IFERROR(INDEX(Vendors!$B$2:$B$10,MATCH(N147,Vendors!$A$2:$A$10,0)),"")</f>
        <v>Prime Property Management</v>
      </c>
      <c r="P147" s="7" t="s">
        <v>115</v>
      </c>
    </row>
    <row r="148" spans="1:16" x14ac:dyDescent="0.25">
      <c r="A148" s="7">
        <v>74</v>
      </c>
      <c r="B148" s="7" t="s">
        <v>211</v>
      </c>
      <c r="C148" s="8">
        <v>46073</v>
      </c>
      <c r="D148" s="7" t="s">
        <v>76</v>
      </c>
      <c r="E148" s="7" t="str">
        <f>IFERROR(INDEX(Restaurants!$B$2:$B$6,MATCH(D148,Restaurants!$A$2:$A$6,0)),"")</f>
        <v>Trailhead Burger Co. #102 - Austin, TX</v>
      </c>
      <c r="F148" s="7" t="s">
        <v>62</v>
      </c>
      <c r="G148" s="7" t="str">
        <f>IFERROR(INDEX(Chart_of_Accounts!$B$2:$B$18,MATCH(F148,Chart_of_Accounts!$A$2:$A$18,0)),"")</f>
        <v>Utilities</v>
      </c>
      <c r="H148" s="7" t="str">
        <f>IFERROR(INDEX(Chart_of_Accounts!$C$2:$C$18,MATCH(F148,Chart_of_Accounts!$A$2:$A$18,0)),"")</f>
        <v>Expense</v>
      </c>
      <c r="I148" s="9">
        <v>2472</v>
      </c>
      <c r="J148" s="9"/>
      <c r="K148" s="7" t="s">
        <v>156</v>
      </c>
      <c r="L148" s="7" t="s">
        <v>32</v>
      </c>
      <c r="M148" s="7" t="s">
        <v>114</v>
      </c>
      <c r="N148" s="7" t="s">
        <v>96</v>
      </c>
      <c r="O148" s="7" t="str">
        <f>IFERROR(INDEX(Vendors!$B$2:$B$10,MATCH(N148,Vendors!$A$2:$A$10,0)),"")</f>
        <v>CityWide Utilities</v>
      </c>
      <c r="P148" s="7" t="s">
        <v>157</v>
      </c>
    </row>
    <row r="149" spans="1:16" x14ac:dyDescent="0.25">
      <c r="A149" s="7">
        <v>74</v>
      </c>
      <c r="B149" s="7" t="s">
        <v>211</v>
      </c>
      <c r="C149" s="8">
        <v>46073</v>
      </c>
      <c r="D149" s="7" t="s">
        <v>76</v>
      </c>
      <c r="E149" s="7" t="str">
        <f>IFERROR(INDEX(Restaurants!$B$2:$B$6,MATCH(D149,Restaurants!$A$2:$A$6,0)),"")</f>
        <v>Trailhead Burger Co. #102 - Austin, TX</v>
      </c>
      <c r="F149" s="7" t="s">
        <v>31</v>
      </c>
      <c r="G149" s="7" t="str">
        <f>IFERROR(INDEX(Chart_of_Accounts!$B$2:$B$18,MATCH(F149,Chart_of_Accounts!$A$2:$A$18,0)),"")</f>
        <v>Cash</v>
      </c>
      <c r="H149" s="7" t="str">
        <f>IFERROR(INDEX(Chart_of_Accounts!$C$2:$C$18,MATCH(F149,Chart_of_Accounts!$A$2:$A$18,0)),"")</f>
        <v>Asset</v>
      </c>
      <c r="I149" s="9"/>
      <c r="J149" s="9">
        <v>2472</v>
      </c>
      <c r="K149" s="7" t="s">
        <v>156</v>
      </c>
      <c r="L149" s="7" t="s">
        <v>32</v>
      </c>
      <c r="M149" s="7" t="s">
        <v>114</v>
      </c>
      <c r="N149" s="7" t="s">
        <v>96</v>
      </c>
      <c r="O149" s="7" t="str">
        <f>IFERROR(INDEX(Vendors!$B$2:$B$10,MATCH(N149,Vendors!$A$2:$A$10,0)),"")</f>
        <v>CityWide Utilities</v>
      </c>
      <c r="P149" s="7" t="s">
        <v>157</v>
      </c>
    </row>
    <row r="150" spans="1:16" x14ac:dyDescent="0.25">
      <c r="A150" s="7">
        <v>75</v>
      </c>
      <c r="B150" s="7" t="s">
        <v>212</v>
      </c>
      <c r="C150" s="8">
        <v>46081</v>
      </c>
      <c r="D150" s="7" t="s">
        <v>76</v>
      </c>
      <c r="E150" s="7" t="str">
        <f>IFERROR(INDEX(Restaurants!$B$2:$B$6,MATCH(D150,Restaurants!$A$2:$A$6,0)),"")</f>
        <v>Trailhead Burger Co. #102 - Austin, TX</v>
      </c>
      <c r="F150" s="7" t="s">
        <v>66</v>
      </c>
      <c r="G150" s="7" t="str">
        <f>IFERROR(INDEX(Chart_of_Accounts!$B$2:$B$18,MATCH(F150,Chart_of_Accounts!$A$2:$A$18,0)),"")</f>
        <v>CC Processing Fees</v>
      </c>
      <c r="H150" s="7" t="str">
        <f>IFERROR(INDEX(Chart_of_Accounts!$C$2:$C$18,MATCH(F150,Chart_of_Accounts!$A$2:$A$18,0)),"")</f>
        <v>Expense</v>
      </c>
      <c r="I150" s="9">
        <v>2955.45</v>
      </c>
      <c r="J150" s="9"/>
      <c r="K150" s="7" t="s">
        <v>159</v>
      </c>
      <c r="L150" s="7" t="s">
        <v>32</v>
      </c>
      <c r="M150" s="7" t="s">
        <v>114</v>
      </c>
      <c r="N150" s="7"/>
      <c r="O150" s="7"/>
      <c r="P150" s="7" t="s">
        <v>115</v>
      </c>
    </row>
    <row r="151" spans="1:16" x14ac:dyDescent="0.25">
      <c r="A151" s="7">
        <v>75</v>
      </c>
      <c r="B151" s="7" t="s">
        <v>212</v>
      </c>
      <c r="C151" s="8">
        <v>46081</v>
      </c>
      <c r="D151" s="7" t="s">
        <v>76</v>
      </c>
      <c r="E151" s="7" t="str">
        <f>IFERROR(INDEX(Restaurants!$B$2:$B$6,MATCH(D151,Restaurants!$A$2:$A$6,0)),"")</f>
        <v>Trailhead Burger Co. #102 - Austin, TX</v>
      </c>
      <c r="F151" s="7" t="s">
        <v>31</v>
      </c>
      <c r="G151" s="7" t="str">
        <f>IFERROR(INDEX(Chart_of_Accounts!$B$2:$B$18,MATCH(F151,Chart_of_Accounts!$A$2:$A$18,0)),"")</f>
        <v>Cash</v>
      </c>
      <c r="H151" s="7" t="str">
        <f>IFERROR(INDEX(Chart_of_Accounts!$C$2:$C$18,MATCH(F151,Chart_of_Accounts!$A$2:$A$18,0)),"")</f>
        <v>Asset</v>
      </c>
      <c r="I151" s="9"/>
      <c r="J151" s="9">
        <v>2955.45</v>
      </c>
      <c r="K151" s="7" t="s">
        <v>159</v>
      </c>
      <c r="L151" s="7" t="s">
        <v>32</v>
      </c>
      <c r="M151" s="7" t="s">
        <v>114</v>
      </c>
      <c r="N151" s="7"/>
      <c r="O151" s="7"/>
      <c r="P151" s="7" t="s">
        <v>115</v>
      </c>
    </row>
    <row r="152" spans="1:16" x14ac:dyDescent="0.25">
      <c r="A152" s="7">
        <v>76</v>
      </c>
      <c r="B152" s="7" t="s">
        <v>213</v>
      </c>
      <c r="C152" s="8">
        <v>46065</v>
      </c>
      <c r="D152" s="7" t="s">
        <v>76</v>
      </c>
      <c r="E152" s="7" t="str">
        <f>IFERROR(INDEX(Restaurants!$B$2:$B$6,MATCH(D152,Restaurants!$A$2:$A$6,0)),"")</f>
        <v>Trailhead Burger Co. #102 - Austin, TX</v>
      </c>
      <c r="F152" s="7" t="s">
        <v>68</v>
      </c>
      <c r="G152" s="7" t="str">
        <f>IFERROR(INDEX(Chart_of_Accounts!$B$2:$B$18,MATCH(F152,Chart_of_Accounts!$A$2:$A$18,0)),"")</f>
        <v>Marketing</v>
      </c>
      <c r="H152" s="7" t="str">
        <f>IFERROR(INDEX(Chart_of_Accounts!$C$2:$C$18,MATCH(F152,Chart_of_Accounts!$A$2:$A$18,0)),"")</f>
        <v>Expense</v>
      </c>
      <c r="I152" s="9">
        <v>3546.54</v>
      </c>
      <c r="J152" s="9"/>
      <c r="K152" s="7" t="s">
        <v>161</v>
      </c>
      <c r="L152" s="7" t="s">
        <v>32</v>
      </c>
      <c r="M152" s="7" t="s">
        <v>114</v>
      </c>
      <c r="N152" s="7" t="s">
        <v>100</v>
      </c>
      <c r="O152" s="7" t="str">
        <f>IFERROR(INDEX(Vendors!$B$2:$B$10,MATCH(N152,Vendors!$A$2:$A$10,0)),"")</f>
        <v>BrightSign Marketing Agency</v>
      </c>
      <c r="P152" s="7" t="s">
        <v>69</v>
      </c>
    </row>
    <row r="153" spans="1:16" x14ac:dyDescent="0.25">
      <c r="A153" s="7">
        <v>76</v>
      </c>
      <c r="B153" s="7" t="s">
        <v>213</v>
      </c>
      <c r="C153" s="8">
        <v>46065</v>
      </c>
      <c r="D153" s="7" t="s">
        <v>76</v>
      </c>
      <c r="E153" s="7" t="str">
        <f>IFERROR(INDEX(Restaurants!$B$2:$B$6,MATCH(D153,Restaurants!$A$2:$A$6,0)),"")</f>
        <v>Trailhead Burger Co. #102 - Austin, TX</v>
      </c>
      <c r="F153" s="7" t="s">
        <v>31</v>
      </c>
      <c r="G153" s="7" t="str">
        <f>IFERROR(INDEX(Chart_of_Accounts!$B$2:$B$18,MATCH(F153,Chart_of_Accounts!$A$2:$A$18,0)),"")</f>
        <v>Cash</v>
      </c>
      <c r="H153" s="7" t="str">
        <f>IFERROR(INDEX(Chart_of_Accounts!$C$2:$C$18,MATCH(F153,Chart_of_Accounts!$A$2:$A$18,0)),"")</f>
        <v>Asset</v>
      </c>
      <c r="I153" s="9"/>
      <c r="J153" s="9">
        <v>3546.54</v>
      </c>
      <c r="K153" s="7" t="s">
        <v>161</v>
      </c>
      <c r="L153" s="7" t="s">
        <v>32</v>
      </c>
      <c r="M153" s="7" t="s">
        <v>114</v>
      </c>
      <c r="N153" s="7" t="s">
        <v>100</v>
      </c>
      <c r="O153" s="7" t="str">
        <f>IFERROR(INDEX(Vendors!$B$2:$B$10,MATCH(N153,Vendors!$A$2:$A$10,0)),"")</f>
        <v>BrightSign Marketing Agency</v>
      </c>
      <c r="P153" s="7" t="s">
        <v>69</v>
      </c>
    </row>
    <row r="154" spans="1:16" x14ac:dyDescent="0.25">
      <c r="A154" s="7">
        <v>77</v>
      </c>
      <c r="B154" s="7" t="s">
        <v>214</v>
      </c>
      <c r="C154" s="8">
        <v>46081</v>
      </c>
      <c r="D154" s="7" t="s">
        <v>76</v>
      </c>
      <c r="E154" s="7" t="str">
        <f>IFERROR(INDEX(Restaurants!$B$2:$B$6,MATCH(D154,Restaurants!$A$2:$A$6,0)),"")</f>
        <v>Trailhead Burger Co. #102 - Austin, TX</v>
      </c>
      <c r="F154" s="7" t="s">
        <v>70</v>
      </c>
      <c r="G154" s="7" t="str">
        <f>IFERROR(INDEX(Chart_of_Accounts!$B$2:$B$18,MATCH(F154,Chart_of_Accounts!$A$2:$A$18,0)),"")</f>
        <v>Franchise Fees</v>
      </c>
      <c r="H154" s="7" t="str">
        <f>IFERROR(INDEX(Chart_of_Accounts!$C$2:$C$18,MATCH(F154,Chart_of_Accounts!$A$2:$A$18,0)),"")</f>
        <v>Expense</v>
      </c>
      <c r="I154" s="9">
        <v>4728.72</v>
      </c>
      <c r="J154" s="9"/>
      <c r="K154" s="7" t="s">
        <v>163</v>
      </c>
      <c r="L154" s="7" t="s">
        <v>32</v>
      </c>
      <c r="M154" s="7" t="s">
        <v>114</v>
      </c>
      <c r="N154" s="7" t="s">
        <v>102</v>
      </c>
      <c r="O154" s="7" t="str">
        <f>IFERROR(INDEX(Vendors!$B$2:$B$10,MATCH(N154,Vendors!$A$2:$A$10,0)),"")</f>
        <v>Trailhead Burger Co. - Corporate</v>
      </c>
      <c r="P154" s="7" t="s">
        <v>115</v>
      </c>
    </row>
    <row r="155" spans="1:16" x14ac:dyDescent="0.25">
      <c r="A155" s="7">
        <v>77</v>
      </c>
      <c r="B155" s="7" t="s">
        <v>214</v>
      </c>
      <c r="C155" s="8">
        <v>46081</v>
      </c>
      <c r="D155" s="7" t="s">
        <v>76</v>
      </c>
      <c r="E155" s="7" t="str">
        <f>IFERROR(INDEX(Restaurants!$B$2:$B$6,MATCH(D155,Restaurants!$A$2:$A$6,0)),"")</f>
        <v>Trailhead Burger Co. #102 - Austin, TX</v>
      </c>
      <c r="F155" s="7" t="s">
        <v>31</v>
      </c>
      <c r="G155" s="7" t="str">
        <f>IFERROR(INDEX(Chart_of_Accounts!$B$2:$B$18,MATCH(F155,Chart_of_Accounts!$A$2:$A$18,0)),"")</f>
        <v>Cash</v>
      </c>
      <c r="H155" s="7" t="str">
        <f>IFERROR(INDEX(Chart_of_Accounts!$C$2:$C$18,MATCH(F155,Chart_of_Accounts!$A$2:$A$18,0)),"")</f>
        <v>Asset</v>
      </c>
      <c r="I155" s="9"/>
      <c r="J155" s="9">
        <v>4728.72</v>
      </c>
      <c r="K155" s="7" t="s">
        <v>163</v>
      </c>
      <c r="L155" s="7" t="s">
        <v>32</v>
      </c>
      <c r="M155" s="7" t="s">
        <v>114</v>
      </c>
      <c r="N155" s="7" t="s">
        <v>102</v>
      </c>
      <c r="O155" s="7" t="str">
        <f>IFERROR(INDEX(Vendors!$B$2:$B$10,MATCH(N155,Vendors!$A$2:$A$10,0)),"")</f>
        <v>Trailhead Burger Co. - Corporate</v>
      </c>
      <c r="P155" s="7" t="s">
        <v>115</v>
      </c>
    </row>
    <row r="156" spans="1:16" x14ac:dyDescent="0.25">
      <c r="A156" s="7">
        <v>78</v>
      </c>
      <c r="B156" s="7" t="s">
        <v>215</v>
      </c>
      <c r="C156" s="8">
        <v>46071</v>
      </c>
      <c r="D156" s="7" t="s">
        <v>76</v>
      </c>
      <c r="E156" s="7" t="str">
        <f>IFERROR(INDEX(Restaurants!$B$2:$B$6,MATCH(D156,Restaurants!$A$2:$A$6,0)),"")</f>
        <v>Trailhead Burger Co. #102 - Austin, TX</v>
      </c>
      <c r="F156" s="7" t="s">
        <v>41</v>
      </c>
      <c r="G156" s="7" t="str">
        <f>IFERROR(INDEX(Chart_of_Accounts!$B$2:$B$18,MATCH(F156,Chart_of_Accounts!$A$2:$A$18,0)),"")</f>
        <v>Accounts Payable</v>
      </c>
      <c r="H156" s="7" t="str">
        <f>IFERROR(INDEX(Chart_of_Accounts!$C$2:$C$18,MATCH(F156,Chart_of_Accounts!$A$2:$A$18,0)),"")</f>
        <v>Liability</v>
      </c>
      <c r="I156" s="9">
        <v>31918.86</v>
      </c>
      <c r="J156" s="9"/>
      <c r="K156" s="7" t="s">
        <v>177</v>
      </c>
      <c r="L156" s="7" t="s">
        <v>32</v>
      </c>
      <c r="M156" s="7" t="s">
        <v>114</v>
      </c>
      <c r="N156" s="7" t="s">
        <v>88</v>
      </c>
      <c r="O156" s="7" t="str">
        <f>IFERROR(INDEX(Vendors!$B$2:$B$10,MATCH(N156,Vendors!$A$2:$A$10,0)),"")</f>
        <v>Fresh Produce Partners</v>
      </c>
      <c r="P156" s="7" t="s">
        <v>115</v>
      </c>
    </row>
    <row r="157" spans="1:16" x14ac:dyDescent="0.25">
      <c r="A157" s="7">
        <v>78</v>
      </c>
      <c r="B157" s="7" t="s">
        <v>215</v>
      </c>
      <c r="C157" s="8">
        <v>46071</v>
      </c>
      <c r="D157" s="7" t="s">
        <v>76</v>
      </c>
      <c r="E157" s="7" t="str">
        <f>IFERROR(INDEX(Restaurants!$B$2:$B$6,MATCH(D157,Restaurants!$A$2:$A$6,0)),"")</f>
        <v>Trailhead Burger Co. #102 - Austin, TX</v>
      </c>
      <c r="F157" s="7" t="s">
        <v>31</v>
      </c>
      <c r="G157" s="7" t="str">
        <f>IFERROR(INDEX(Chart_of_Accounts!$B$2:$B$18,MATCH(F157,Chart_of_Accounts!$A$2:$A$18,0)),"")</f>
        <v>Cash</v>
      </c>
      <c r="H157" s="7" t="str">
        <f>IFERROR(INDEX(Chart_of_Accounts!$C$2:$C$18,MATCH(F157,Chart_of_Accounts!$A$2:$A$18,0)),"")</f>
        <v>Asset</v>
      </c>
      <c r="I157" s="9"/>
      <c r="J157" s="9">
        <v>31918.86</v>
      </c>
      <c r="K157" s="7" t="s">
        <v>177</v>
      </c>
      <c r="L157" s="7" t="s">
        <v>32</v>
      </c>
      <c r="M157" s="7" t="s">
        <v>114</v>
      </c>
      <c r="N157" s="7" t="s">
        <v>88</v>
      </c>
      <c r="O157" s="7" t="str">
        <f>IFERROR(INDEX(Vendors!$B$2:$B$10,MATCH(N157,Vendors!$A$2:$A$10,0)),"")</f>
        <v>Fresh Produce Partners</v>
      </c>
      <c r="P157" s="7" t="s">
        <v>115</v>
      </c>
    </row>
    <row r="158" spans="1:16" x14ac:dyDescent="0.25">
      <c r="A158" s="7">
        <v>79</v>
      </c>
      <c r="B158" s="7" t="s">
        <v>216</v>
      </c>
      <c r="C158" s="8">
        <v>46086</v>
      </c>
      <c r="D158" s="7" t="s">
        <v>76</v>
      </c>
      <c r="E158" s="7" t="str">
        <f>IFERROR(INDEX(Restaurants!$B$2:$B$6,MATCH(D158,Restaurants!$A$2:$A$6,0)),"")</f>
        <v>Trailhead Burger Co. #102 - Austin, TX</v>
      </c>
      <c r="F158" s="7" t="s">
        <v>31</v>
      </c>
      <c r="G158" s="7" t="str">
        <f>IFERROR(INDEX(Chart_of_Accounts!$B$2:$B$18,MATCH(F158,Chart_of_Accounts!$A$2:$A$18,0)),"")</f>
        <v>Cash</v>
      </c>
      <c r="H158" s="7" t="str">
        <f>IFERROR(INDEX(Chart_of_Accounts!$C$2:$C$18,MATCH(F158,Chart_of_Accounts!$A$2:$A$18,0)),"")</f>
        <v>Asset</v>
      </c>
      <c r="I158" s="9">
        <v>98800</v>
      </c>
      <c r="J158" s="9"/>
      <c r="K158" s="7" t="s">
        <v>134</v>
      </c>
      <c r="L158" s="7" t="s">
        <v>32</v>
      </c>
      <c r="M158" s="7" t="s">
        <v>135</v>
      </c>
      <c r="N158" s="7"/>
      <c r="O158" s="7"/>
      <c r="P158" s="7" t="s">
        <v>136</v>
      </c>
    </row>
    <row r="159" spans="1:16" x14ac:dyDescent="0.25">
      <c r="A159" s="7">
        <v>79</v>
      </c>
      <c r="B159" s="7" t="s">
        <v>216</v>
      </c>
      <c r="C159" s="8">
        <v>46086</v>
      </c>
      <c r="D159" s="7" t="s">
        <v>76</v>
      </c>
      <c r="E159" s="7" t="str">
        <f>IFERROR(INDEX(Restaurants!$B$2:$B$6,MATCH(D159,Restaurants!$A$2:$A$6,0)),"")</f>
        <v>Trailhead Burger Co. #102 - Austin, TX</v>
      </c>
      <c r="F159" s="7" t="s">
        <v>50</v>
      </c>
      <c r="G159" s="7" t="str">
        <f>IFERROR(INDEX(Chart_of_Accounts!$B$2:$B$18,MATCH(F159,Chart_of_Accounts!$A$2:$A$18,0)),"")</f>
        <v>Restaurant Sales</v>
      </c>
      <c r="H159" s="7" t="str">
        <f>IFERROR(INDEX(Chart_of_Accounts!$C$2:$C$18,MATCH(F159,Chart_of_Accounts!$A$2:$A$18,0)),"")</f>
        <v>Revenue</v>
      </c>
      <c r="I159" s="9"/>
      <c r="J159" s="9">
        <v>98800</v>
      </c>
      <c r="K159" s="7" t="s">
        <v>134</v>
      </c>
      <c r="L159" s="7" t="s">
        <v>32</v>
      </c>
      <c r="M159" s="7" t="s">
        <v>135</v>
      </c>
      <c r="N159" s="7"/>
      <c r="O159" s="7"/>
      <c r="P159" s="7" t="s">
        <v>136</v>
      </c>
    </row>
    <row r="160" spans="1:16" x14ac:dyDescent="0.25">
      <c r="A160" s="7">
        <v>80</v>
      </c>
      <c r="B160" s="7" t="s">
        <v>217</v>
      </c>
      <c r="C160" s="8">
        <v>46088</v>
      </c>
      <c r="D160" s="7" t="s">
        <v>76</v>
      </c>
      <c r="E160" s="7" t="str">
        <f>IFERROR(INDEX(Restaurants!$B$2:$B$6,MATCH(D160,Restaurants!$A$2:$A$6,0)),"")</f>
        <v>Trailhead Burger Co. #102 - Austin, TX</v>
      </c>
      <c r="F160" s="7" t="s">
        <v>35</v>
      </c>
      <c r="G160" s="7" t="str">
        <f>IFERROR(INDEX(Chart_of_Accounts!$B$2:$B$18,MATCH(F160,Chart_of_Accounts!$A$2:$A$18,0)),"")</f>
        <v>Accounts Receivable</v>
      </c>
      <c r="H160" s="7" t="str">
        <f>IFERROR(INDEX(Chart_of_Accounts!$C$2:$C$18,MATCH(F160,Chart_of_Accounts!$A$2:$A$18,0)),"")</f>
        <v>Asset</v>
      </c>
      <c r="I160" s="9">
        <v>21736</v>
      </c>
      <c r="J160" s="9"/>
      <c r="K160" s="7" t="s">
        <v>138</v>
      </c>
      <c r="L160" s="7" t="s">
        <v>139</v>
      </c>
      <c r="M160" s="7" t="s">
        <v>140</v>
      </c>
      <c r="N160" s="7" t="s">
        <v>94</v>
      </c>
      <c r="O160" s="7" t="str">
        <f>IFERROR(INDEX(Vendors!$B$2:$B$10,MATCH(N160,Vendors!$A$2:$A$10,0)),"")</f>
        <v>QuickDash Delivery Platform</v>
      </c>
      <c r="P160" s="7" t="s">
        <v>136</v>
      </c>
    </row>
    <row r="161" spans="1:16" x14ac:dyDescent="0.25">
      <c r="A161" s="7">
        <v>80</v>
      </c>
      <c r="B161" s="7" t="s">
        <v>217</v>
      </c>
      <c r="C161" s="8">
        <v>46088</v>
      </c>
      <c r="D161" s="7" t="s">
        <v>76</v>
      </c>
      <c r="E161" s="7" t="str">
        <f>IFERROR(INDEX(Restaurants!$B$2:$B$6,MATCH(D161,Restaurants!$A$2:$A$6,0)),"")</f>
        <v>Trailhead Burger Co. #102 - Austin, TX</v>
      </c>
      <c r="F161" s="7" t="s">
        <v>53</v>
      </c>
      <c r="G161" s="7" t="str">
        <f>IFERROR(INDEX(Chart_of_Accounts!$B$2:$B$18,MATCH(F161,Chart_of_Accounts!$A$2:$A$18,0)),"")</f>
        <v>Delivery Sales</v>
      </c>
      <c r="H161" s="7" t="str">
        <f>IFERROR(INDEX(Chart_of_Accounts!$C$2:$C$18,MATCH(F161,Chart_of_Accounts!$A$2:$A$18,0)),"")</f>
        <v>Revenue</v>
      </c>
      <c r="I161" s="9"/>
      <c r="J161" s="9">
        <v>21736</v>
      </c>
      <c r="K161" s="7" t="s">
        <v>138</v>
      </c>
      <c r="L161" s="7" t="s">
        <v>139</v>
      </c>
      <c r="M161" s="7" t="s">
        <v>140</v>
      </c>
      <c r="N161" s="7" t="s">
        <v>94</v>
      </c>
      <c r="O161" s="7" t="str">
        <f>IFERROR(INDEX(Vendors!$B$2:$B$10,MATCH(N161,Vendors!$A$2:$A$10,0)),"")</f>
        <v>QuickDash Delivery Platform</v>
      </c>
      <c r="P161" s="7" t="s">
        <v>136</v>
      </c>
    </row>
    <row r="162" spans="1:16" x14ac:dyDescent="0.25">
      <c r="A162" s="7">
        <v>81</v>
      </c>
      <c r="B162" s="7" t="s">
        <v>218</v>
      </c>
      <c r="C162" s="8">
        <v>46091</v>
      </c>
      <c r="D162" s="7" t="s">
        <v>76</v>
      </c>
      <c r="E162" s="7" t="str">
        <f>IFERROR(INDEX(Restaurants!$B$2:$B$6,MATCH(D162,Restaurants!$A$2:$A$6,0)),"")</f>
        <v>Trailhead Burger Co. #102 - Austin, TX</v>
      </c>
      <c r="F162" s="7" t="s">
        <v>31</v>
      </c>
      <c r="G162" s="7" t="str">
        <f>IFERROR(INDEX(Chart_of_Accounts!$B$2:$B$18,MATCH(F162,Chart_of_Accounts!$A$2:$A$18,0)),"")</f>
        <v>Cash</v>
      </c>
      <c r="H162" s="7" t="str">
        <f>IFERROR(INDEX(Chart_of_Accounts!$C$2:$C$18,MATCH(F162,Chart_of_Accounts!$A$2:$A$18,0)),"")</f>
        <v>Asset</v>
      </c>
      <c r="I162" s="9">
        <v>21736</v>
      </c>
      <c r="J162" s="9"/>
      <c r="K162" s="7" t="s">
        <v>142</v>
      </c>
      <c r="L162" s="7" t="s">
        <v>139</v>
      </c>
      <c r="M162" s="7" t="s">
        <v>140</v>
      </c>
      <c r="N162" s="7" t="s">
        <v>94</v>
      </c>
      <c r="O162" s="7" t="str">
        <f>IFERROR(INDEX(Vendors!$B$2:$B$10,MATCH(N162,Vendors!$A$2:$A$10,0)),"")</f>
        <v>QuickDash Delivery Platform</v>
      </c>
      <c r="P162" s="7" t="s">
        <v>136</v>
      </c>
    </row>
    <row r="163" spans="1:16" x14ac:dyDescent="0.25">
      <c r="A163" s="7">
        <v>81</v>
      </c>
      <c r="B163" s="7" t="s">
        <v>218</v>
      </c>
      <c r="C163" s="8">
        <v>46091</v>
      </c>
      <c r="D163" s="7" t="s">
        <v>76</v>
      </c>
      <c r="E163" s="7" t="str">
        <f>IFERROR(INDEX(Restaurants!$B$2:$B$6,MATCH(D163,Restaurants!$A$2:$A$6,0)),"")</f>
        <v>Trailhead Burger Co. #102 - Austin, TX</v>
      </c>
      <c r="F163" s="7" t="s">
        <v>35</v>
      </c>
      <c r="G163" s="7" t="str">
        <f>IFERROR(INDEX(Chart_of_Accounts!$B$2:$B$18,MATCH(F163,Chart_of_Accounts!$A$2:$A$18,0)),"")</f>
        <v>Accounts Receivable</v>
      </c>
      <c r="H163" s="7" t="str">
        <f>IFERROR(INDEX(Chart_of_Accounts!$C$2:$C$18,MATCH(F163,Chart_of_Accounts!$A$2:$A$18,0)),"")</f>
        <v>Asset</v>
      </c>
      <c r="I163" s="9"/>
      <c r="J163" s="9">
        <v>21736</v>
      </c>
      <c r="K163" s="7" t="s">
        <v>142</v>
      </c>
      <c r="L163" s="7" t="s">
        <v>139</v>
      </c>
      <c r="M163" s="7" t="s">
        <v>140</v>
      </c>
      <c r="N163" s="7" t="s">
        <v>94</v>
      </c>
      <c r="O163" s="7" t="str">
        <f>IFERROR(INDEX(Vendors!$B$2:$B$10,MATCH(N163,Vendors!$A$2:$A$10,0)),"")</f>
        <v>QuickDash Delivery Platform</v>
      </c>
      <c r="P163" s="7" t="s">
        <v>136</v>
      </c>
    </row>
    <row r="164" spans="1:16" x14ac:dyDescent="0.25">
      <c r="A164" s="7">
        <v>82</v>
      </c>
      <c r="B164" s="7" t="s">
        <v>219</v>
      </c>
      <c r="C164" s="8">
        <v>46091</v>
      </c>
      <c r="D164" s="7" t="s">
        <v>76</v>
      </c>
      <c r="E164" s="7" t="str">
        <f>IFERROR(INDEX(Restaurants!$B$2:$B$6,MATCH(D164,Restaurants!$A$2:$A$6,0)),"")</f>
        <v>Trailhead Burger Co. #102 - Austin, TX</v>
      </c>
      <c r="F164" s="7" t="s">
        <v>64</v>
      </c>
      <c r="G164" s="7" t="str">
        <f>IFERROR(INDEX(Chart_of_Accounts!$B$2:$B$18,MATCH(F164,Chart_of_Accounts!$A$2:$A$18,0)),"")</f>
        <v>Delivery Fees</v>
      </c>
      <c r="H164" s="7" t="str">
        <f>IFERROR(INDEX(Chart_of_Accounts!$C$2:$C$18,MATCH(F164,Chart_of_Accounts!$A$2:$A$18,0)),"")</f>
        <v>Expense</v>
      </c>
      <c r="I164" s="9">
        <v>3260.4</v>
      </c>
      <c r="J164" s="9"/>
      <c r="K164" s="7" t="s">
        <v>144</v>
      </c>
      <c r="L164" s="7" t="s">
        <v>32</v>
      </c>
      <c r="M164" s="7" t="s">
        <v>140</v>
      </c>
      <c r="N164" s="7" t="s">
        <v>94</v>
      </c>
      <c r="O164" s="7" t="str">
        <f>IFERROR(INDEX(Vendors!$B$2:$B$10,MATCH(N164,Vendors!$A$2:$A$10,0)),"")</f>
        <v>QuickDash Delivery Platform</v>
      </c>
      <c r="P164" s="7" t="s">
        <v>136</v>
      </c>
    </row>
    <row r="165" spans="1:16" x14ac:dyDescent="0.25">
      <c r="A165" s="7">
        <v>82</v>
      </c>
      <c r="B165" s="7" t="s">
        <v>219</v>
      </c>
      <c r="C165" s="8">
        <v>46091</v>
      </c>
      <c r="D165" s="7" t="s">
        <v>76</v>
      </c>
      <c r="E165" s="7" t="str">
        <f>IFERROR(INDEX(Restaurants!$B$2:$B$6,MATCH(D165,Restaurants!$A$2:$A$6,0)),"")</f>
        <v>Trailhead Burger Co. #102 - Austin, TX</v>
      </c>
      <c r="F165" s="7" t="s">
        <v>31</v>
      </c>
      <c r="G165" s="7" t="str">
        <f>IFERROR(INDEX(Chart_of_Accounts!$B$2:$B$18,MATCH(F165,Chart_of_Accounts!$A$2:$A$18,0)),"")</f>
        <v>Cash</v>
      </c>
      <c r="H165" s="7" t="str">
        <f>IFERROR(INDEX(Chart_of_Accounts!$C$2:$C$18,MATCH(F165,Chart_of_Accounts!$A$2:$A$18,0)),"")</f>
        <v>Asset</v>
      </c>
      <c r="I165" s="9"/>
      <c r="J165" s="9">
        <v>3260.4</v>
      </c>
      <c r="K165" s="7" t="s">
        <v>144</v>
      </c>
      <c r="L165" s="7" t="s">
        <v>32</v>
      </c>
      <c r="M165" s="7" t="s">
        <v>140</v>
      </c>
      <c r="N165" s="7" t="s">
        <v>94</v>
      </c>
      <c r="O165" s="7" t="str">
        <f>IFERROR(INDEX(Vendors!$B$2:$B$10,MATCH(N165,Vendors!$A$2:$A$10,0)),"")</f>
        <v>QuickDash Delivery Platform</v>
      </c>
      <c r="P165" s="7" t="s">
        <v>136</v>
      </c>
    </row>
    <row r="166" spans="1:16" x14ac:dyDescent="0.25">
      <c r="A166" s="7">
        <v>83</v>
      </c>
      <c r="B166" s="7" t="s">
        <v>220</v>
      </c>
      <c r="C166" s="8">
        <v>46089</v>
      </c>
      <c r="D166" s="7" t="s">
        <v>76</v>
      </c>
      <c r="E166" s="7" t="str">
        <f>IFERROR(INDEX(Restaurants!$B$2:$B$6,MATCH(D166,Restaurants!$A$2:$A$6,0)),"")</f>
        <v>Trailhead Burger Co. #102 - Austin, TX</v>
      </c>
      <c r="F166" s="7" t="s">
        <v>37</v>
      </c>
      <c r="G166" s="7" t="str">
        <f>IFERROR(INDEX(Chart_of_Accounts!$B$2:$B$18,MATCH(F166,Chart_of_Accounts!$A$2:$A$18,0)),"")</f>
        <v>Inventory</v>
      </c>
      <c r="H166" s="7" t="str">
        <f>IFERROR(INDEX(Chart_of_Accounts!$C$2:$C$18,MATCH(F166,Chart_of_Accounts!$A$2:$A$18,0)),"")</f>
        <v>Asset</v>
      </c>
      <c r="I166" s="9">
        <v>37968.839999999997</v>
      </c>
      <c r="J166" s="9"/>
      <c r="K166" s="7" t="s">
        <v>146</v>
      </c>
      <c r="L166" s="7" t="s">
        <v>113</v>
      </c>
      <c r="M166" s="7" t="s">
        <v>114</v>
      </c>
      <c r="N166" s="7" t="s">
        <v>86</v>
      </c>
      <c r="O166" s="7" t="str">
        <f>IFERROR(INDEX(Vendors!$B$2:$B$10,MATCH(N166,Vendors!$A$2:$A$10,0)),"")</f>
        <v>Gulf Coast Meat Supply</v>
      </c>
      <c r="P166" s="7" t="s">
        <v>147</v>
      </c>
    </row>
    <row r="167" spans="1:16" x14ac:dyDescent="0.25">
      <c r="A167" s="7">
        <v>83</v>
      </c>
      <c r="B167" s="7" t="s">
        <v>220</v>
      </c>
      <c r="C167" s="8">
        <v>46089</v>
      </c>
      <c r="D167" s="7" t="s">
        <v>76</v>
      </c>
      <c r="E167" s="7" t="str">
        <f>IFERROR(INDEX(Restaurants!$B$2:$B$6,MATCH(D167,Restaurants!$A$2:$A$6,0)),"")</f>
        <v>Trailhead Burger Co. #102 - Austin, TX</v>
      </c>
      <c r="F167" s="7" t="s">
        <v>41</v>
      </c>
      <c r="G167" s="7" t="str">
        <f>IFERROR(INDEX(Chart_of_Accounts!$B$2:$B$18,MATCH(F167,Chart_of_Accounts!$A$2:$A$18,0)),"")</f>
        <v>Accounts Payable</v>
      </c>
      <c r="H167" s="7" t="str">
        <f>IFERROR(INDEX(Chart_of_Accounts!$C$2:$C$18,MATCH(F167,Chart_of_Accounts!$A$2:$A$18,0)),"")</f>
        <v>Liability</v>
      </c>
      <c r="I167" s="9"/>
      <c r="J167" s="9">
        <v>37968.839999999997</v>
      </c>
      <c r="K167" s="7" t="s">
        <v>146</v>
      </c>
      <c r="L167" s="7" t="s">
        <v>113</v>
      </c>
      <c r="M167" s="7" t="s">
        <v>114</v>
      </c>
      <c r="N167" s="7" t="s">
        <v>86</v>
      </c>
      <c r="O167" s="7" t="str">
        <f>IFERROR(INDEX(Vendors!$B$2:$B$10,MATCH(N167,Vendors!$A$2:$A$10,0)),"")</f>
        <v>Gulf Coast Meat Supply</v>
      </c>
      <c r="P167" s="7" t="s">
        <v>147</v>
      </c>
    </row>
    <row r="168" spans="1:16" x14ac:dyDescent="0.25">
      <c r="A168" s="7">
        <v>84</v>
      </c>
      <c r="B168" s="7" t="s">
        <v>221</v>
      </c>
      <c r="C168" s="8">
        <v>46109</v>
      </c>
      <c r="D168" s="7" t="s">
        <v>76</v>
      </c>
      <c r="E168" s="7" t="str">
        <f>IFERROR(INDEX(Restaurants!$B$2:$B$6,MATCH(D168,Restaurants!$A$2:$A$6,0)),"")</f>
        <v>Trailhead Burger Co. #102 - Austin, TX</v>
      </c>
      <c r="F168" s="7" t="s">
        <v>55</v>
      </c>
      <c r="G168" s="7" t="str">
        <f>IFERROR(INDEX(Chart_of_Accounts!$B$2:$B$18,MATCH(F168,Chart_of_Accounts!$A$2:$A$18,0)),"")</f>
        <v>Food Cost</v>
      </c>
      <c r="H168" s="7" t="str">
        <f>IFERROR(INDEX(Chart_of_Accounts!$C$2:$C$18,MATCH(F168,Chart_of_Accounts!$A$2:$A$18,0)),"")</f>
        <v>Expense</v>
      </c>
      <c r="I168" s="9">
        <v>36160.800000000003</v>
      </c>
      <c r="J168" s="9"/>
      <c r="K168" s="7" t="s">
        <v>149</v>
      </c>
      <c r="L168" s="7" t="s">
        <v>113</v>
      </c>
      <c r="M168" s="7" t="s">
        <v>114</v>
      </c>
      <c r="N168" s="7" t="s">
        <v>86</v>
      </c>
      <c r="O168" s="7" t="str">
        <f>IFERROR(INDEX(Vendors!$B$2:$B$10,MATCH(N168,Vendors!$A$2:$A$10,0)),"")</f>
        <v>Gulf Coast Meat Supply</v>
      </c>
      <c r="P168" s="7" t="s">
        <v>136</v>
      </c>
    </row>
    <row r="169" spans="1:16" x14ac:dyDescent="0.25">
      <c r="A169" s="7">
        <v>84</v>
      </c>
      <c r="B169" s="7" t="s">
        <v>221</v>
      </c>
      <c r="C169" s="8">
        <v>46109</v>
      </c>
      <c r="D169" s="7" t="s">
        <v>76</v>
      </c>
      <c r="E169" s="7" t="str">
        <f>IFERROR(INDEX(Restaurants!$B$2:$B$6,MATCH(D169,Restaurants!$A$2:$A$6,0)),"")</f>
        <v>Trailhead Burger Co. #102 - Austin, TX</v>
      </c>
      <c r="F169" s="7" t="s">
        <v>37</v>
      </c>
      <c r="G169" s="7" t="str">
        <f>IFERROR(INDEX(Chart_of_Accounts!$B$2:$B$18,MATCH(F169,Chart_of_Accounts!$A$2:$A$18,0)),"")</f>
        <v>Inventory</v>
      </c>
      <c r="H169" s="7" t="str">
        <f>IFERROR(INDEX(Chart_of_Accounts!$C$2:$C$18,MATCH(F169,Chart_of_Accounts!$A$2:$A$18,0)),"")</f>
        <v>Asset</v>
      </c>
      <c r="I169" s="9"/>
      <c r="J169" s="9">
        <v>36160.800000000003</v>
      </c>
      <c r="K169" s="7" t="s">
        <v>149</v>
      </c>
      <c r="L169" s="7" t="s">
        <v>113</v>
      </c>
      <c r="M169" s="7" t="s">
        <v>114</v>
      </c>
      <c r="N169" s="7" t="s">
        <v>86</v>
      </c>
      <c r="O169" s="7" t="str">
        <f>IFERROR(INDEX(Vendors!$B$2:$B$10,MATCH(N169,Vendors!$A$2:$A$10,0)),"")</f>
        <v>Gulf Coast Meat Supply</v>
      </c>
      <c r="P169" s="7" t="s">
        <v>136</v>
      </c>
    </row>
    <row r="170" spans="1:16" x14ac:dyDescent="0.25">
      <c r="A170" s="7">
        <v>85</v>
      </c>
      <c r="B170" s="7" t="s">
        <v>222</v>
      </c>
      <c r="C170" s="8">
        <v>46096</v>
      </c>
      <c r="D170" s="7" t="s">
        <v>76</v>
      </c>
      <c r="E170" s="7" t="str">
        <f>IFERROR(INDEX(Restaurants!$B$2:$B$6,MATCH(D170,Restaurants!$A$2:$A$6,0)),"")</f>
        <v>Trailhead Burger Co. #102 - Austin, TX</v>
      </c>
      <c r="F170" s="7" t="s">
        <v>58</v>
      </c>
      <c r="G170" s="7" t="str">
        <f>IFERROR(INDEX(Chart_of_Accounts!$B$2:$B$18,MATCH(F170,Chart_of_Accounts!$A$2:$A$18,0)),"")</f>
        <v>Labor</v>
      </c>
      <c r="H170" s="7" t="str">
        <f>IFERROR(INDEX(Chart_of_Accounts!$C$2:$C$18,MATCH(F170,Chart_of_Accounts!$A$2:$A$18,0)),"")</f>
        <v>Expense</v>
      </c>
      <c r="I170" s="9">
        <v>31339.360000000001</v>
      </c>
      <c r="J170" s="9"/>
      <c r="K170" s="7" t="s">
        <v>151</v>
      </c>
      <c r="L170" s="7" t="s">
        <v>32</v>
      </c>
      <c r="M170" s="7" t="s">
        <v>114</v>
      </c>
      <c r="N170" s="7"/>
      <c r="O170" s="7"/>
      <c r="P170" s="7" t="s">
        <v>152</v>
      </c>
    </row>
    <row r="171" spans="1:16" x14ac:dyDescent="0.25">
      <c r="A171" s="7">
        <v>85</v>
      </c>
      <c r="B171" s="7" t="s">
        <v>222</v>
      </c>
      <c r="C171" s="8">
        <v>46096</v>
      </c>
      <c r="D171" s="7" t="s">
        <v>76</v>
      </c>
      <c r="E171" s="7" t="str">
        <f>IFERROR(INDEX(Restaurants!$B$2:$B$6,MATCH(D171,Restaurants!$A$2:$A$6,0)),"")</f>
        <v>Trailhead Burger Co. #102 - Austin, TX</v>
      </c>
      <c r="F171" s="7" t="s">
        <v>31</v>
      </c>
      <c r="G171" s="7" t="str">
        <f>IFERROR(INDEX(Chart_of_Accounts!$B$2:$B$18,MATCH(F171,Chart_of_Accounts!$A$2:$A$18,0)),"")</f>
        <v>Cash</v>
      </c>
      <c r="H171" s="7" t="str">
        <f>IFERROR(INDEX(Chart_of_Accounts!$C$2:$C$18,MATCH(F171,Chart_of_Accounts!$A$2:$A$18,0)),"")</f>
        <v>Asset</v>
      </c>
      <c r="I171" s="9"/>
      <c r="J171" s="9">
        <v>31339.360000000001</v>
      </c>
      <c r="K171" s="7" t="s">
        <v>151</v>
      </c>
      <c r="L171" s="7" t="s">
        <v>32</v>
      </c>
      <c r="M171" s="7" t="s">
        <v>114</v>
      </c>
      <c r="N171" s="7"/>
      <c r="O171" s="7"/>
      <c r="P171" s="7" t="s">
        <v>152</v>
      </c>
    </row>
    <row r="172" spans="1:16" x14ac:dyDescent="0.25">
      <c r="A172" s="7">
        <v>86</v>
      </c>
      <c r="B172" s="7" t="s">
        <v>223</v>
      </c>
      <c r="C172" s="8">
        <v>46082</v>
      </c>
      <c r="D172" s="7" t="s">
        <v>76</v>
      </c>
      <c r="E172" s="7" t="str">
        <f>IFERROR(INDEX(Restaurants!$B$2:$B$6,MATCH(D172,Restaurants!$A$2:$A$6,0)),"")</f>
        <v>Trailhead Burger Co. #102 - Austin, TX</v>
      </c>
      <c r="F172" s="7" t="s">
        <v>60</v>
      </c>
      <c r="G172" s="7" t="str">
        <f>IFERROR(INDEX(Chart_of_Accounts!$B$2:$B$18,MATCH(F172,Chart_of_Accounts!$A$2:$A$18,0)),"")</f>
        <v>Rent</v>
      </c>
      <c r="H172" s="7" t="str">
        <f>IFERROR(INDEX(Chart_of_Accounts!$C$2:$C$18,MATCH(F172,Chart_of_Accounts!$A$2:$A$18,0)),"")</f>
        <v>Expense</v>
      </c>
      <c r="I172" s="9">
        <v>9000</v>
      </c>
      <c r="J172" s="9"/>
      <c r="K172" s="7" t="s">
        <v>154</v>
      </c>
      <c r="L172" s="7" t="s">
        <v>32</v>
      </c>
      <c r="M172" s="7" t="s">
        <v>114</v>
      </c>
      <c r="N172" s="7" t="s">
        <v>98</v>
      </c>
      <c r="O172" s="7" t="str">
        <f>IFERROR(INDEX(Vendors!$B$2:$B$10,MATCH(N172,Vendors!$A$2:$A$10,0)),"")</f>
        <v>Prime Property Management</v>
      </c>
      <c r="P172" s="7" t="s">
        <v>115</v>
      </c>
    </row>
    <row r="173" spans="1:16" x14ac:dyDescent="0.25">
      <c r="A173" s="7">
        <v>86</v>
      </c>
      <c r="B173" s="7" t="s">
        <v>223</v>
      </c>
      <c r="C173" s="8">
        <v>46082</v>
      </c>
      <c r="D173" s="7" t="s">
        <v>76</v>
      </c>
      <c r="E173" s="7" t="str">
        <f>IFERROR(INDEX(Restaurants!$B$2:$B$6,MATCH(D173,Restaurants!$A$2:$A$6,0)),"")</f>
        <v>Trailhead Burger Co. #102 - Austin, TX</v>
      </c>
      <c r="F173" s="7" t="s">
        <v>31</v>
      </c>
      <c r="G173" s="7" t="str">
        <f>IFERROR(INDEX(Chart_of_Accounts!$B$2:$B$18,MATCH(F173,Chart_of_Accounts!$A$2:$A$18,0)),"")</f>
        <v>Cash</v>
      </c>
      <c r="H173" s="7" t="str">
        <f>IFERROR(INDEX(Chart_of_Accounts!$C$2:$C$18,MATCH(F173,Chart_of_Accounts!$A$2:$A$18,0)),"")</f>
        <v>Asset</v>
      </c>
      <c r="I173" s="9"/>
      <c r="J173" s="9">
        <v>9000</v>
      </c>
      <c r="K173" s="7" t="s">
        <v>154</v>
      </c>
      <c r="L173" s="7" t="s">
        <v>32</v>
      </c>
      <c r="M173" s="7" t="s">
        <v>114</v>
      </c>
      <c r="N173" s="7" t="s">
        <v>98</v>
      </c>
      <c r="O173" s="7" t="str">
        <f>IFERROR(INDEX(Vendors!$B$2:$B$10,MATCH(N173,Vendors!$A$2:$A$10,0)),"")</f>
        <v>Prime Property Management</v>
      </c>
      <c r="P173" s="7" t="s">
        <v>115</v>
      </c>
    </row>
    <row r="174" spans="1:16" x14ac:dyDescent="0.25">
      <c r="A174" s="7">
        <v>87</v>
      </c>
      <c r="B174" s="7" t="s">
        <v>224</v>
      </c>
      <c r="C174" s="8">
        <v>46101</v>
      </c>
      <c r="D174" s="7" t="s">
        <v>76</v>
      </c>
      <c r="E174" s="7" t="str">
        <f>IFERROR(INDEX(Restaurants!$B$2:$B$6,MATCH(D174,Restaurants!$A$2:$A$6,0)),"")</f>
        <v>Trailhead Burger Co. #102 - Austin, TX</v>
      </c>
      <c r="F174" s="7" t="s">
        <v>62</v>
      </c>
      <c r="G174" s="7" t="str">
        <f>IFERROR(INDEX(Chart_of_Accounts!$B$2:$B$18,MATCH(F174,Chart_of_Accounts!$A$2:$A$18,0)),"")</f>
        <v>Utilities</v>
      </c>
      <c r="H174" s="7" t="str">
        <f>IFERROR(INDEX(Chart_of_Accounts!$C$2:$C$18,MATCH(F174,Chart_of_Accounts!$A$2:$A$18,0)),"")</f>
        <v>Expense</v>
      </c>
      <c r="I174" s="9">
        <v>2544</v>
      </c>
      <c r="J174" s="9"/>
      <c r="K174" s="7" t="s">
        <v>156</v>
      </c>
      <c r="L174" s="7" t="s">
        <v>32</v>
      </c>
      <c r="M174" s="7" t="s">
        <v>114</v>
      </c>
      <c r="N174" s="7" t="s">
        <v>96</v>
      </c>
      <c r="O174" s="7" t="str">
        <f>IFERROR(INDEX(Vendors!$B$2:$B$10,MATCH(N174,Vendors!$A$2:$A$10,0)),"")</f>
        <v>CityWide Utilities</v>
      </c>
      <c r="P174" s="7" t="s">
        <v>157</v>
      </c>
    </row>
    <row r="175" spans="1:16" x14ac:dyDescent="0.25">
      <c r="A175" s="7">
        <v>87</v>
      </c>
      <c r="B175" s="7" t="s">
        <v>224</v>
      </c>
      <c r="C175" s="8">
        <v>46101</v>
      </c>
      <c r="D175" s="7" t="s">
        <v>76</v>
      </c>
      <c r="E175" s="7" t="str">
        <f>IFERROR(INDEX(Restaurants!$B$2:$B$6,MATCH(D175,Restaurants!$A$2:$A$6,0)),"")</f>
        <v>Trailhead Burger Co. #102 - Austin, TX</v>
      </c>
      <c r="F175" s="7" t="s">
        <v>31</v>
      </c>
      <c r="G175" s="7" t="str">
        <f>IFERROR(INDEX(Chart_of_Accounts!$B$2:$B$18,MATCH(F175,Chart_of_Accounts!$A$2:$A$18,0)),"")</f>
        <v>Cash</v>
      </c>
      <c r="H175" s="7" t="str">
        <f>IFERROR(INDEX(Chart_of_Accounts!$C$2:$C$18,MATCH(F175,Chart_of_Accounts!$A$2:$A$18,0)),"")</f>
        <v>Asset</v>
      </c>
      <c r="I175" s="9"/>
      <c r="J175" s="9">
        <v>2544</v>
      </c>
      <c r="K175" s="7" t="s">
        <v>156</v>
      </c>
      <c r="L175" s="7" t="s">
        <v>32</v>
      </c>
      <c r="M175" s="7" t="s">
        <v>114</v>
      </c>
      <c r="N175" s="7" t="s">
        <v>96</v>
      </c>
      <c r="O175" s="7" t="str">
        <f>IFERROR(INDEX(Vendors!$B$2:$B$10,MATCH(N175,Vendors!$A$2:$A$10,0)),"")</f>
        <v>CityWide Utilities</v>
      </c>
      <c r="P175" s="7" t="s">
        <v>157</v>
      </c>
    </row>
    <row r="176" spans="1:16" x14ac:dyDescent="0.25">
      <c r="A176" s="7">
        <v>88</v>
      </c>
      <c r="B176" s="7" t="s">
        <v>225</v>
      </c>
      <c r="C176" s="8">
        <v>46109</v>
      </c>
      <c r="D176" s="7" t="s">
        <v>76</v>
      </c>
      <c r="E176" s="7" t="str">
        <f>IFERROR(INDEX(Restaurants!$B$2:$B$6,MATCH(D176,Restaurants!$A$2:$A$6,0)),"")</f>
        <v>Trailhead Burger Co. #102 - Austin, TX</v>
      </c>
      <c r="F176" s="7" t="s">
        <v>66</v>
      </c>
      <c r="G176" s="7" t="str">
        <f>IFERROR(INDEX(Chart_of_Accounts!$B$2:$B$18,MATCH(F176,Chart_of_Accounts!$A$2:$A$18,0)),"")</f>
        <v>CC Processing Fees</v>
      </c>
      <c r="H176" s="7" t="str">
        <f>IFERROR(INDEX(Chart_of_Accounts!$C$2:$C$18,MATCH(F176,Chart_of_Accounts!$A$2:$A$18,0)),"")</f>
        <v>Expense</v>
      </c>
      <c r="I176" s="9">
        <v>3013.4</v>
      </c>
      <c r="J176" s="9"/>
      <c r="K176" s="7" t="s">
        <v>159</v>
      </c>
      <c r="L176" s="7" t="s">
        <v>32</v>
      </c>
      <c r="M176" s="7" t="s">
        <v>114</v>
      </c>
      <c r="N176" s="7"/>
      <c r="O176" s="7"/>
      <c r="P176" s="7" t="s">
        <v>115</v>
      </c>
    </row>
    <row r="177" spans="1:16" x14ac:dyDescent="0.25">
      <c r="A177" s="7">
        <v>88</v>
      </c>
      <c r="B177" s="7" t="s">
        <v>225</v>
      </c>
      <c r="C177" s="8">
        <v>46109</v>
      </c>
      <c r="D177" s="7" t="s">
        <v>76</v>
      </c>
      <c r="E177" s="7" t="str">
        <f>IFERROR(INDEX(Restaurants!$B$2:$B$6,MATCH(D177,Restaurants!$A$2:$A$6,0)),"")</f>
        <v>Trailhead Burger Co. #102 - Austin, TX</v>
      </c>
      <c r="F177" s="7" t="s">
        <v>31</v>
      </c>
      <c r="G177" s="7" t="str">
        <f>IFERROR(INDEX(Chart_of_Accounts!$B$2:$B$18,MATCH(F177,Chart_of_Accounts!$A$2:$A$18,0)),"")</f>
        <v>Cash</v>
      </c>
      <c r="H177" s="7" t="str">
        <f>IFERROR(INDEX(Chart_of_Accounts!$C$2:$C$18,MATCH(F177,Chart_of_Accounts!$A$2:$A$18,0)),"")</f>
        <v>Asset</v>
      </c>
      <c r="I177" s="9"/>
      <c r="J177" s="9">
        <v>3013.4</v>
      </c>
      <c r="K177" s="7" t="s">
        <v>159</v>
      </c>
      <c r="L177" s="7" t="s">
        <v>32</v>
      </c>
      <c r="M177" s="7" t="s">
        <v>114</v>
      </c>
      <c r="N177" s="7"/>
      <c r="O177" s="7"/>
      <c r="P177" s="7" t="s">
        <v>115</v>
      </c>
    </row>
    <row r="178" spans="1:16" x14ac:dyDescent="0.25">
      <c r="A178" s="7">
        <v>89</v>
      </c>
      <c r="B178" s="7" t="s">
        <v>226</v>
      </c>
      <c r="C178" s="8">
        <v>46093</v>
      </c>
      <c r="D178" s="7" t="s">
        <v>76</v>
      </c>
      <c r="E178" s="7" t="str">
        <f>IFERROR(INDEX(Restaurants!$B$2:$B$6,MATCH(D178,Restaurants!$A$2:$A$6,0)),"")</f>
        <v>Trailhead Burger Co. #102 - Austin, TX</v>
      </c>
      <c r="F178" s="7" t="s">
        <v>68</v>
      </c>
      <c r="G178" s="7" t="str">
        <f>IFERROR(INDEX(Chart_of_Accounts!$B$2:$B$18,MATCH(F178,Chart_of_Accounts!$A$2:$A$18,0)),"")</f>
        <v>Marketing</v>
      </c>
      <c r="H178" s="7" t="str">
        <f>IFERROR(INDEX(Chart_of_Accounts!$C$2:$C$18,MATCH(F178,Chart_of_Accounts!$A$2:$A$18,0)),"")</f>
        <v>Expense</v>
      </c>
      <c r="I178" s="9">
        <v>3616.08</v>
      </c>
      <c r="J178" s="9"/>
      <c r="K178" s="7" t="s">
        <v>161</v>
      </c>
      <c r="L178" s="7" t="s">
        <v>32</v>
      </c>
      <c r="M178" s="7" t="s">
        <v>114</v>
      </c>
      <c r="N178" s="7" t="s">
        <v>100</v>
      </c>
      <c r="O178" s="7" t="str">
        <f>IFERROR(INDEX(Vendors!$B$2:$B$10,MATCH(N178,Vendors!$A$2:$A$10,0)),"")</f>
        <v>BrightSign Marketing Agency</v>
      </c>
      <c r="P178" s="7" t="s">
        <v>69</v>
      </c>
    </row>
    <row r="179" spans="1:16" x14ac:dyDescent="0.25">
      <c r="A179" s="7">
        <v>89</v>
      </c>
      <c r="B179" s="7" t="s">
        <v>226</v>
      </c>
      <c r="C179" s="8">
        <v>46093</v>
      </c>
      <c r="D179" s="7" t="s">
        <v>76</v>
      </c>
      <c r="E179" s="7" t="str">
        <f>IFERROR(INDEX(Restaurants!$B$2:$B$6,MATCH(D179,Restaurants!$A$2:$A$6,0)),"")</f>
        <v>Trailhead Burger Co. #102 - Austin, TX</v>
      </c>
      <c r="F179" s="7" t="s">
        <v>31</v>
      </c>
      <c r="G179" s="7" t="str">
        <f>IFERROR(INDEX(Chart_of_Accounts!$B$2:$B$18,MATCH(F179,Chart_of_Accounts!$A$2:$A$18,0)),"")</f>
        <v>Cash</v>
      </c>
      <c r="H179" s="7" t="str">
        <f>IFERROR(INDEX(Chart_of_Accounts!$C$2:$C$18,MATCH(F179,Chart_of_Accounts!$A$2:$A$18,0)),"")</f>
        <v>Asset</v>
      </c>
      <c r="I179" s="9"/>
      <c r="J179" s="9">
        <v>3616.08</v>
      </c>
      <c r="K179" s="7" t="s">
        <v>161</v>
      </c>
      <c r="L179" s="7" t="s">
        <v>32</v>
      </c>
      <c r="M179" s="7" t="s">
        <v>114</v>
      </c>
      <c r="N179" s="7" t="s">
        <v>100</v>
      </c>
      <c r="O179" s="7" t="str">
        <f>IFERROR(INDEX(Vendors!$B$2:$B$10,MATCH(N179,Vendors!$A$2:$A$10,0)),"")</f>
        <v>BrightSign Marketing Agency</v>
      </c>
      <c r="P179" s="7" t="s">
        <v>69</v>
      </c>
    </row>
    <row r="180" spans="1:16" x14ac:dyDescent="0.25">
      <c r="A180" s="7">
        <v>90</v>
      </c>
      <c r="B180" s="7" t="s">
        <v>227</v>
      </c>
      <c r="C180" s="8">
        <v>46111</v>
      </c>
      <c r="D180" s="7" t="s">
        <v>76</v>
      </c>
      <c r="E180" s="7" t="str">
        <f>IFERROR(INDEX(Restaurants!$B$2:$B$6,MATCH(D180,Restaurants!$A$2:$A$6,0)),"")</f>
        <v>Trailhead Burger Co. #102 - Austin, TX</v>
      </c>
      <c r="F180" s="7" t="s">
        <v>70</v>
      </c>
      <c r="G180" s="7" t="str">
        <f>IFERROR(INDEX(Chart_of_Accounts!$B$2:$B$18,MATCH(F180,Chart_of_Accounts!$A$2:$A$18,0)),"")</f>
        <v>Franchise Fees</v>
      </c>
      <c r="H180" s="7" t="str">
        <f>IFERROR(INDEX(Chart_of_Accounts!$C$2:$C$18,MATCH(F180,Chart_of_Accounts!$A$2:$A$18,0)),"")</f>
        <v>Expense</v>
      </c>
      <c r="I180" s="9">
        <v>4821.4399999999996</v>
      </c>
      <c r="J180" s="9"/>
      <c r="K180" s="7" t="s">
        <v>163</v>
      </c>
      <c r="L180" s="7" t="s">
        <v>32</v>
      </c>
      <c r="M180" s="7" t="s">
        <v>114</v>
      </c>
      <c r="N180" s="7" t="s">
        <v>102</v>
      </c>
      <c r="O180" s="7" t="str">
        <f>IFERROR(INDEX(Vendors!$B$2:$B$10,MATCH(N180,Vendors!$A$2:$A$10,0)),"")</f>
        <v>Trailhead Burger Co. - Corporate</v>
      </c>
      <c r="P180" s="7" t="s">
        <v>115</v>
      </c>
    </row>
    <row r="181" spans="1:16" x14ac:dyDescent="0.25">
      <c r="A181" s="7">
        <v>90</v>
      </c>
      <c r="B181" s="7" t="s">
        <v>227</v>
      </c>
      <c r="C181" s="8">
        <v>46111</v>
      </c>
      <c r="D181" s="7" t="s">
        <v>76</v>
      </c>
      <c r="E181" s="7" t="str">
        <f>IFERROR(INDEX(Restaurants!$B$2:$B$6,MATCH(D181,Restaurants!$A$2:$A$6,0)),"")</f>
        <v>Trailhead Burger Co. #102 - Austin, TX</v>
      </c>
      <c r="F181" s="7" t="s">
        <v>31</v>
      </c>
      <c r="G181" s="7" t="str">
        <f>IFERROR(INDEX(Chart_of_Accounts!$B$2:$B$18,MATCH(F181,Chart_of_Accounts!$A$2:$A$18,0)),"")</f>
        <v>Cash</v>
      </c>
      <c r="H181" s="7" t="str">
        <f>IFERROR(INDEX(Chart_of_Accounts!$C$2:$C$18,MATCH(F181,Chart_of_Accounts!$A$2:$A$18,0)),"")</f>
        <v>Asset</v>
      </c>
      <c r="I181" s="9"/>
      <c r="J181" s="9">
        <v>4821.4399999999996</v>
      </c>
      <c r="K181" s="7" t="s">
        <v>163</v>
      </c>
      <c r="L181" s="7" t="s">
        <v>32</v>
      </c>
      <c r="M181" s="7" t="s">
        <v>114</v>
      </c>
      <c r="N181" s="7" t="s">
        <v>102</v>
      </c>
      <c r="O181" s="7" t="str">
        <f>IFERROR(INDEX(Vendors!$B$2:$B$10,MATCH(N181,Vendors!$A$2:$A$10,0)),"")</f>
        <v>Trailhead Burger Co. - Corporate</v>
      </c>
      <c r="P181" s="7" t="s">
        <v>115</v>
      </c>
    </row>
    <row r="182" spans="1:16" x14ac:dyDescent="0.25">
      <c r="A182" s="7">
        <v>91</v>
      </c>
      <c r="B182" s="7" t="s">
        <v>228</v>
      </c>
      <c r="C182" s="8">
        <v>46099</v>
      </c>
      <c r="D182" s="7" t="s">
        <v>76</v>
      </c>
      <c r="E182" s="7" t="str">
        <f>IFERROR(INDEX(Restaurants!$B$2:$B$6,MATCH(D182,Restaurants!$A$2:$A$6,0)),"")</f>
        <v>Trailhead Burger Co. #102 - Austin, TX</v>
      </c>
      <c r="F182" s="7" t="s">
        <v>41</v>
      </c>
      <c r="G182" s="7" t="str">
        <f>IFERROR(INDEX(Chart_of_Accounts!$B$2:$B$18,MATCH(F182,Chart_of_Accounts!$A$2:$A$18,0)),"")</f>
        <v>Accounts Payable</v>
      </c>
      <c r="H182" s="7" t="str">
        <f>IFERROR(INDEX(Chart_of_Accounts!$C$2:$C$18,MATCH(F182,Chart_of_Accounts!$A$2:$A$18,0)),"")</f>
        <v>Liability</v>
      </c>
      <c r="I182" s="9">
        <v>32544.720000000001</v>
      </c>
      <c r="J182" s="9"/>
      <c r="K182" s="7" t="s">
        <v>177</v>
      </c>
      <c r="L182" s="7" t="s">
        <v>32</v>
      </c>
      <c r="M182" s="7" t="s">
        <v>114</v>
      </c>
      <c r="N182" s="7" t="s">
        <v>86</v>
      </c>
      <c r="O182" s="7" t="str">
        <f>IFERROR(INDEX(Vendors!$B$2:$B$10,MATCH(N182,Vendors!$A$2:$A$10,0)),"")</f>
        <v>Gulf Coast Meat Supply</v>
      </c>
      <c r="P182" s="7" t="s">
        <v>115</v>
      </c>
    </row>
    <row r="183" spans="1:16" x14ac:dyDescent="0.25">
      <c r="A183" s="7">
        <v>91</v>
      </c>
      <c r="B183" s="7" t="s">
        <v>228</v>
      </c>
      <c r="C183" s="8">
        <v>46099</v>
      </c>
      <c r="D183" s="7" t="s">
        <v>76</v>
      </c>
      <c r="E183" s="7" t="str">
        <f>IFERROR(INDEX(Restaurants!$B$2:$B$6,MATCH(D183,Restaurants!$A$2:$A$6,0)),"")</f>
        <v>Trailhead Burger Co. #102 - Austin, TX</v>
      </c>
      <c r="F183" s="7" t="s">
        <v>31</v>
      </c>
      <c r="G183" s="7" t="str">
        <f>IFERROR(INDEX(Chart_of_Accounts!$B$2:$B$18,MATCH(F183,Chart_of_Accounts!$A$2:$A$18,0)),"")</f>
        <v>Cash</v>
      </c>
      <c r="H183" s="7" t="str">
        <f>IFERROR(INDEX(Chart_of_Accounts!$C$2:$C$18,MATCH(F183,Chart_of_Accounts!$A$2:$A$18,0)),"")</f>
        <v>Asset</v>
      </c>
      <c r="I183" s="9"/>
      <c r="J183" s="9">
        <v>32544.720000000001</v>
      </c>
      <c r="K183" s="7" t="s">
        <v>177</v>
      </c>
      <c r="L183" s="7" t="s">
        <v>32</v>
      </c>
      <c r="M183" s="7" t="s">
        <v>114</v>
      </c>
      <c r="N183" s="7" t="s">
        <v>86</v>
      </c>
      <c r="O183" s="7" t="str">
        <f>IFERROR(INDEX(Vendors!$B$2:$B$10,MATCH(N183,Vendors!$A$2:$A$10,0)),"")</f>
        <v>Gulf Coast Meat Supply</v>
      </c>
      <c r="P183" s="7" t="s">
        <v>115</v>
      </c>
    </row>
    <row r="184" spans="1:16" x14ac:dyDescent="0.25">
      <c r="A184" s="7">
        <v>92</v>
      </c>
      <c r="B184" s="7" t="s">
        <v>229</v>
      </c>
      <c r="C184" s="8">
        <v>46027</v>
      </c>
      <c r="D184" s="7" t="s">
        <v>78</v>
      </c>
      <c r="E184" s="7" t="str">
        <f>IFERROR(INDEX(Restaurants!$B$2:$B$6,MATCH(D184,Restaurants!$A$2:$A$6,0)),"")</f>
        <v>Trailhead Burger Co. #103 - Corpus Christi, TX</v>
      </c>
      <c r="F184" s="7" t="s">
        <v>31</v>
      </c>
      <c r="G184" s="7" t="str">
        <f>IFERROR(INDEX(Chart_of_Accounts!$B$2:$B$18,MATCH(F184,Chart_of_Accounts!$A$2:$A$18,0)),"")</f>
        <v>Cash</v>
      </c>
      <c r="H184" s="7" t="str">
        <f>IFERROR(INDEX(Chart_of_Accounts!$C$2:$C$18,MATCH(F184,Chart_of_Accounts!$A$2:$A$18,0)),"")</f>
        <v>Asset</v>
      </c>
      <c r="I184" s="9">
        <v>80000</v>
      </c>
      <c r="J184" s="9"/>
      <c r="K184" s="7" t="s">
        <v>134</v>
      </c>
      <c r="L184" s="7" t="s">
        <v>32</v>
      </c>
      <c r="M184" s="7" t="s">
        <v>135</v>
      </c>
      <c r="N184" s="7"/>
      <c r="O184" s="7"/>
      <c r="P184" s="7" t="s">
        <v>136</v>
      </c>
    </row>
    <row r="185" spans="1:16" x14ac:dyDescent="0.25">
      <c r="A185" s="7">
        <v>92</v>
      </c>
      <c r="B185" s="7" t="s">
        <v>229</v>
      </c>
      <c r="C185" s="8">
        <v>46027</v>
      </c>
      <c r="D185" s="7" t="s">
        <v>78</v>
      </c>
      <c r="E185" s="7" t="str">
        <f>IFERROR(INDEX(Restaurants!$B$2:$B$6,MATCH(D185,Restaurants!$A$2:$A$6,0)),"")</f>
        <v>Trailhead Burger Co. #103 - Corpus Christi, TX</v>
      </c>
      <c r="F185" s="7" t="s">
        <v>50</v>
      </c>
      <c r="G185" s="7" t="str">
        <f>IFERROR(INDEX(Chart_of_Accounts!$B$2:$B$18,MATCH(F185,Chart_of_Accounts!$A$2:$A$18,0)),"")</f>
        <v>Restaurant Sales</v>
      </c>
      <c r="H185" s="7" t="str">
        <f>IFERROR(INDEX(Chart_of_Accounts!$C$2:$C$18,MATCH(F185,Chart_of_Accounts!$A$2:$A$18,0)),"")</f>
        <v>Revenue</v>
      </c>
      <c r="I185" s="9"/>
      <c r="J185" s="9">
        <v>80000</v>
      </c>
      <c r="K185" s="7" t="s">
        <v>134</v>
      </c>
      <c r="L185" s="7" t="s">
        <v>32</v>
      </c>
      <c r="M185" s="7" t="s">
        <v>135</v>
      </c>
      <c r="N185" s="7"/>
      <c r="O185" s="7"/>
      <c r="P185" s="7" t="s">
        <v>136</v>
      </c>
    </row>
    <row r="186" spans="1:16" x14ac:dyDescent="0.25">
      <c r="A186" s="7">
        <v>93</v>
      </c>
      <c r="B186" s="7" t="s">
        <v>230</v>
      </c>
      <c r="C186" s="8">
        <v>46029</v>
      </c>
      <c r="D186" s="7" t="s">
        <v>78</v>
      </c>
      <c r="E186" s="7" t="str">
        <f>IFERROR(INDEX(Restaurants!$B$2:$B$6,MATCH(D186,Restaurants!$A$2:$A$6,0)),"")</f>
        <v>Trailhead Burger Co. #103 - Corpus Christi, TX</v>
      </c>
      <c r="F186" s="7" t="s">
        <v>35</v>
      </c>
      <c r="G186" s="7" t="str">
        <f>IFERROR(INDEX(Chart_of_Accounts!$B$2:$B$18,MATCH(F186,Chart_of_Accounts!$A$2:$A$18,0)),"")</f>
        <v>Accounts Receivable</v>
      </c>
      <c r="H186" s="7" t="str">
        <f>IFERROR(INDEX(Chart_of_Accounts!$C$2:$C$18,MATCH(F186,Chart_of_Accounts!$A$2:$A$18,0)),"")</f>
        <v>Asset</v>
      </c>
      <c r="I186" s="9">
        <v>17600</v>
      </c>
      <c r="J186" s="9"/>
      <c r="K186" s="7" t="s">
        <v>138</v>
      </c>
      <c r="L186" s="7" t="s">
        <v>139</v>
      </c>
      <c r="M186" s="7" t="s">
        <v>140</v>
      </c>
      <c r="N186" s="7" t="s">
        <v>94</v>
      </c>
      <c r="O186" s="7" t="str">
        <f>IFERROR(INDEX(Vendors!$B$2:$B$10,MATCH(N186,Vendors!$A$2:$A$10,0)),"")</f>
        <v>QuickDash Delivery Platform</v>
      </c>
      <c r="P186" s="7" t="s">
        <v>136</v>
      </c>
    </row>
    <row r="187" spans="1:16" x14ac:dyDescent="0.25">
      <c r="A187" s="7">
        <v>93</v>
      </c>
      <c r="B187" s="7" t="s">
        <v>230</v>
      </c>
      <c r="C187" s="8">
        <v>46029</v>
      </c>
      <c r="D187" s="7" t="s">
        <v>78</v>
      </c>
      <c r="E187" s="7" t="str">
        <f>IFERROR(INDEX(Restaurants!$B$2:$B$6,MATCH(D187,Restaurants!$A$2:$A$6,0)),"")</f>
        <v>Trailhead Burger Co. #103 - Corpus Christi, TX</v>
      </c>
      <c r="F187" s="7" t="s">
        <v>53</v>
      </c>
      <c r="G187" s="7" t="str">
        <f>IFERROR(INDEX(Chart_of_Accounts!$B$2:$B$18,MATCH(F187,Chart_of_Accounts!$A$2:$A$18,0)),"")</f>
        <v>Delivery Sales</v>
      </c>
      <c r="H187" s="7" t="str">
        <f>IFERROR(INDEX(Chart_of_Accounts!$C$2:$C$18,MATCH(F187,Chart_of_Accounts!$A$2:$A$18,0)),"")</f>
        <v>Revenue</v>
      </c>
      <c r="I187" s="9"/>
      <c r="J187" s="9">
        <v>17600</v>
      </c>
      <c r="K187" s="7" t="s">
        <v>138</v>
      </c>
      <c r="L187" s="7" t="s">
        <v>139</v>
      </c>
      <c r="M187" s="7" t="s">
        <v>140</v>
      </c>
      <c r="N187" s="7" t="s">
        <v>94</v>
      </c>
      <c r="O187" s="7" t="str">
        <f>IFERROR(INDEX(Vendors!$B$2:$B$10,MATCH(N187,Vendors!$A$2:$A$10,0)),"")</f>
        <v>QuickDash Delivery Platform</v>
      </c>
      <c r="P187" s="7" t="s">
        <v>136</v>
      </c>
    </row>
    <row r="188" spans="1:16" x14ac:dyDescent="0.25">
      <c r="A188" s="7">
        <v>94</v>
      </c>
      <c r="B188" s="7" t="s">
        <v>231</v>
      </c>
      <c r="C188" s="8">
        <v>46032</v>
      </c>
      <c r="D188" s="7" t="s">
        <v>78</v>
      </c>
      <c r="E188" s="7" t="str">
        <f>IFERROR(INDEX(Restaurants!$B$2:$B$6,MATCH(D188,Restaurants!$A$2:$A$6,0)),"")</f>
        <v>Trailhead Burger Co. #103 - Corpus Christi, TX</v>
      </c>
      <c r="F188" s="7" t="s">
        <v>31</v>
      </c>
      <c r="G188" s="7" t="str">
        <f>IFERROR(INDEX(Chart_of_Accounts!$B$2:$B$18,MATCH(F188,Chart_of_Accounts!$A$2:$A$18,0)),"")</f>
        <v>Cash</v>
      </c>
      <c r="H188" s="7" t="str">
        <f>IFERROR(INDEX(Chart_of_Accounts!$C$2:$C$18,MATCH(F188,Chart_of_Accounts!$A$2:$A$18,0)),"")</f>
        <v>Asset</v>
      </c>
      <c r="I188" s="9">
        <v>17600</v>
      </c>
      <c r="J188" s="9"/>
      <c r="K188" s="7" t="s">
        <v>142</v>
      </c>
      <c r="L188" s="7" t="s">
        <v>139</v>
      </c>
      <c r="M188" s="7" t="s">
        <v>140</v>
      </c>
      <c r="N188" s="7" t="s">
        <v>94</v>
      </c>
      <c r="O188" s="7" t="str">
        <f>IFERROR(INDEX(Vendors!$B$2:$B$10,MATCH(N188,Vendors!$A$2:$A$10,0)),"")</f>
        <v>QuickDash Delivery Platform</v>
      </c>
      <c r="P188" s="7" t="s">
        <v>136</v>
      </c>
    </row>
    <row r="189" spans="1:16" x14ac:dyDescent="0.25">
      <c r="A189" s="7">
        <v>94</v>
      </c>
      <c r="B189" s="7" t="s">
        <v>231</v>
      </c>
      <c r="C189" s="8">
        <v>46032</v>
      </c>
      <c r="D189" s="7" t="s">
        <v>78</v>
      </c>
      <c r="E189" s="7" t="str">
        <f>IFERROR(INDEX(Restaurants!$B$2:$B$6,MATCH(D189,Restaurants!$A$2:$A$6,0)),"")</f>
        <v>Trailhead Burger Co. #103 - Corpus Christi, TX</v>
      </c>
      <c r="F189" s="7" t="s">
        <v>35</v>
      </c>
      <c r="G189" s="7" t="str">
        <f>IFERROR(INDEX(Chart_of_Accounts!$B$2:$B$18,MATCH(F189,Chart_of_Accounts!$A$2:$A$18,0)),"")</f>
        <v>Accounts Receivable</v>
      </c>
      <c r="H189" s="7" t="str">
        <f>IFERROR(INDEX(Chart_of_Accounts!$C$2:$C$18,MATCH(F189,Chart_of_Accounts!$A$2:$A$18,0)),"")</f>
        <v>Asset</v>
      </c>
      <c r="I189" s="9"/>
      <c r="J189" s="9">
        <v>17600</v>
      </c>
      <c r="K189" s="7" t="s">
        <v>142</v>
      </c>
      <c r="L189" s="7" t="s">
        <v>139</v>
      </c>
      <c r="M189" s="7" t="s">
        <v>140</v>
      </c>
      <c r="N189" s="7" t="s">
        <v>94</v>
      </c>
      <c r="O189" s="7" t="str">
        <f>IFERROR(INDEX(Vendors!$B$2:$B$10,MATCH(N189,Vendors!$A$2:$A$10,0)),"")</f>
        <v>QuickDash Delivery Platform</v>
      </c>
      <c r="P189" s="7" t="s">
        <v>136</v>
      </c>
    </row>
    <row r="190" spans="1:16" x14ac:dyDescent="0.25">
      <c r="A190" s="7">
        <v>95</v>
      </c>
      <c r="B190" s="7" t="s">
        <v>232</v>
      </c>
      <c r="C190" s="8">
        <v>46032</v>
      </c>
      <c r="D190" s="7" t="s">
        <v>78</v>
      </c>
      <c r="E190" s="7" t="str">
        <f>IFERROR(INDEX(Restaurants!$B$2:$B$6,MATCH(D190,Restaurants!$A$2:$A$6,0)),"")</f>
        <v>Trailhead Burger Co. #103 - Corpus Christi, TX</v>
      </c>
      <c r="F190" s="7" t="s">
        <v>64</v>
      </c>
      <c r="G190" s="7" t="str">
        <f>IFERROR(INDEX(Chart_of_Accounts!$B$2:$B$18,MATCH(F190,Chart_of_Accounts!$A$2:$A$18,0)),"")</f>
        <v>Delivery Fees</v>
      </c>
      <c r="H190" s="7" t="str">
        <f>IFERROR(INDEX(Chart_of_Accounts!$C$2:$C$18,MATCH(F190,Chart_of_Accounts!$A$2:$A$18,0)),"")</f>
        <v>Expense</v>
      </c>
      <c r="I190" s="9">
        <v>2640</v>
      </c>
      <c r="J190" s="9"/>
      <c r="K190" s="7" t="s">
        <v>144</v>
      </c>
      <c r="L190" s="7" t="s">
        <v>32</v>
      </c>
      <c r="M190" s="7" t="s">
        <v>140</v>
      </c>
      <c r="N190" s="7" t="s">
        <v>94</v>
      </c>
      <c r="O190" s="7" t="str">
        <f>IFERROR(INDEX(Vendors!$B$2:$B$10,MATCH(N190,Vendors!$A$2:$A$10,0)),"")</f>
        <v>QuickDash Delivery Platform</v>
      </c>
      <c r="P190" s="7" t="s">
        <v>136</v>
      </c>
    </row>
    <row r="191" spans="1:16" x14ac:dyDescent="0.25">
      <c r="A191" s="7">
        <v>95</v>
      </c>
      <c r="B191" s="7" t="s">
        <v>232</v>
      </c>
      <c r="C191" s="8">
        <v>46032</v>
      </c>
      <c r="D191" s="7" t="s">
        <v>78</v>
      </c>
      <c r="E191" s="7" t="str">
        <f>IFERROR(INDEX(Restaurants!$B$2:$B$6,MATCH(D191,Restaurants!$A$2:$A$6,0)),"")</f>
        <v>Trailhead Burger Co. #103 - Corpus Christi, TX</v>
      </c>
      <c r="F191" s="7" t="s">
        <v>31</v>
      </c>
      <c r="G191" s="7" t="str">
        <f>IFERROR(INDEX(Chart_of_Accounts!$B$2:$B$18,MATCH(F191,Chart_of_Accounts!$A$2:$A$18,0)),"")</f>
        <v>Cash</v>
      </c>
      <c r="H191" s="7" t="str">
        <f>IFERROR(INDEX(Chart_of_Accounts!$C$2:$C$18,MATCH(F191,Chart_of_Accounts!$A$2:$A$18,0)),"")</f>
        <v>Asset</v>
      </c>
      <c r="I191" s="9"/>
      <c r="J191" s="9">
        <v>2640</v>
      </c>
      <c r="K191" s="7" t="s">
        <v>144</v>
      </c>
      <c r="L191" s="7" t="s">
        <v>32</v>
      </c>
      <c r="M191" s="7" t="s">
        <v>140</v>
      </c>
      <c r="N191" s="7" t="s">
        <v>94</v>
      </c>
      <c r="O191" s="7" t="str">
        <f>IFERROR(INDEX(Vendors!$B$2:$B$10,MATCH(N191,Vendors!$A$2:$A$10,0)),"")</f>
        <v>QuickDash Delivery Platform</v>
      </c>
      <c r="P191" s="7" t="s">
        <v>136</v>
      </c>
    </row>
    <row r="192" spans="1:16" x14ac:dyDescent="0.25">
      <c r="A192" s="7">
        <v>96</v>
      </c>
      <c r="B192" s="7" t="s">
        <v>233</v>
      </c>
      <c r="C192" s="8">
        <v>46030</v>
      </c>
      <c r="D192" s="7" t="s">
        <v>78</v>
      </c>
      <c r="E192" s="7" t="str">
        <f>IFERROR(INDEX(Restaurants!$B$2:$B$6,MATCH(D192,Restaurants!$A$2:$A$6,0)),"")</f>
        <v>Trailhead Burger Co. #103 - Corpus Christi, TX</v>
      </c>
      <c r="F192" s="7" t="s">
        <v>37</v>
      </c>
      <c r="G192" s="7" t="str">
        <f>IFERROR(INDEX(Chart_of_Accounts!$B$2:$B$18,MATCH(F192,Chart_of_Accounts!$A$2:$A$18,0)),"")</f>
        <v>Inventory</v>
      </c>
      <c r="H192" s="7" t="str">
        <f>IFERROR(INDEX(Chart_of_Accounts!$C$2:$C$18,MATCH(F192,Chart_of_Accounts!$A$2:$A$18,0)),"")</f>
        <v>Asset</v>
      </c>
      <c r="I192" s="9">
        <v>30744</v>
      </c>
      <c r="J192" s="9"/>
      <c r="K192" s="7" t="s">
        <v>146</v>
      </c>
      <c r="L192" s="7" t="s">
        <v>113</v>
      </c>
      <c r="M192" s="7" t="s">
        <v>114</v>
      </c>
      <c r="N192" s="7" t="s">
        <v>86</v>
      </c>
      <c r="O192" s="7" t="str">
        <f>IFERROR(INDEX(Vendors!$B$2:$B$10,MATCH(N192,Vendors!$A$2:$A$10,0)),"")</f>
        <v>Gulf Coast Meat Supply</v>
      </c>
      <c r="P192" s="7" t="s">
        <v>147</v>
      </c>
    </row>
    <row r="193" spans="1:16" x14ac:dyDescent="0.25">
      <c r="A193" s="7">
        <v>96</v>
      </c>
      <c r="B193" s="7" t="s">
        <v>233</v>
      </c>
      <c r="C193" s="8">
        <v>46030</v>
      </c>
      <c r="D193" s="7" t="s">
        <v>78</v>
      </c>
      <c r="E193" s="7" t="str">
        <f>IFERROR(INDEX(Restaurants!$B$2:$B$6,MATCH(D193,Restaurants!$A$2:$A$6,0)),"")</f>
        <v>Trailhead Burger Co. #103 - Corpus Christi, TX</v>
      </c>
      <c r="F193" s="7" t="s">
        <v>41</v>
      </c>
      <c r="G193" s="7" t="str">
        <f>IFERROR(INDEX(Chart_of_Accounts!$B$2:$B$18,MATCH(F193,Chart_of_Accounts!$A$2:$A$18,0)),"")</f>
        <v>Accounts Payable</v>
      </c>
      <c r="H193" s="7" t="str">
        <f>IFERROR(INDEX(Chart_of_Accounts!$C$2:$C$18,MATCH(F193,Chart_of_Accounts!$A$2:$A$18,0)),"")</f>
        <v>Liability</v>
      </c>
      <c r="I193" s="9"/>
      <c r="J193" s="9">
        <v>30744</v>
      </c>
      <c r="K193" s="7" t="s">
        <v>146</v>
      </c>
      <c r="L193" s="7" t="s">
        <v>113</v>
      </c>
      <c r="M193" s="7" t="s">
        <v>114</v>
      </c>
      <c r="N193" s="7" t="s">
        <v>86</v>
      </c>
      <c r="O193" s="7" t="str">
        <f>IFERROR(INDEX(Vendors!$B$2:$B$10,MATCH(N193,Vendors!$A$2:$A$10,0)),"")</f>
        <v>Gulf Coast Meat Supply</v>
      </c>
      <c r="P193" s="7" t="s">
        <v>147</v>
      </c>
    </row>
    <row r="194" spans="1:16" x14ac:dyDescent="0.25">
      <c r="A194" s="7">
        <v>97</v>
      </c>
      <c r="B194" s="7" t="s">
        <v>234</v>
      </c>
      <c r="C194" s="8">
        <v>46050</v>
      </c>
      <c r="D194" s="7" t="s">
        <v>78</v>
      </c>
      <c r="E194" s="7" t="str">
        <f>IFERROR(INDEX(Restaurants!$B$2:$B$6,MATCH(D194,Restaurants!$A$2:$A$6,0)),"")</f>
        <v>Trailhead Burger Co. #103 - Corpus Christi, TX</v>
      </c>
      <c r="F194" s="7" t="s">
        <v>55</v>
      </c>
      <c r="G194" s="7" t="str">
        <f>IFERROR(INDEX(Chart_of_Accounts!$B$2:$B$18,MATCH(F194,Chart_of_Accounts!$A$2:$A$18,0)),"")</f>
        <v>Food Cost</v>
      </c>
      <c r="H194" s="7" t="str">
        <f>IFERROR(INDEX(Chart_of_Accounts!$C$2:$C$18,MATCH(F194,Chart_of_Accounts!$A$2:$A$18,0)),"")</f>
        <v>Expense</v>
      </c>
      <c r="I194" s="9">
        <v>29280</v>
      </c>
      <c r="J194" s="9"/>
      <c r="K194" s="7" t="s">
        <v>149</v>
      </c>
      <c r="L194" s="7" t="s">
        <v>113</v>
      </c>
      <c r="M194" s="7" t="s">
        <v>114</v>
      </c>
      <c r="N194" s="7" t="s">
        <v>86</v>
      </c>
      <c r="O194" s="7" t="str">
        <f>IFERROR(INDEX(Vendors!$B$2:$B$10,MATCH(N194,Vendors!$A$2:$A$10,0)),"")</f>
        <v>Gulf Coast Meat Supply</v>
      </c>
      <c r="P194" s="7" t="s">
        <v>136</v>
      </c>
    </row>
    <row r="195" spans="1:16" x14ac:dyDescent="0.25">
      <c r="A195" s="7">
        <v>97</v>
      </c>
      <c r="B195" s="7" t="s">
        <v>234</v>
      </c>
      <c r="C195" s="8">
        <v>46050</v>
      </c>
      <c r="D195" s="7" t="s">
        <v>78</v>
      </c>
      <c r="E195" s="7" t="str">
        <f>IFERROR(INDEX(Restaurants!$B$2:$B$6,MATCH(D195,Restaurants!$A$2:$A$6,0)),"")</f>
        <v>Trailhead Burger Co. #103 - Corpus Christi, TX</v>
      </c>
      <c r="F195" s="7" t="s">
        <v>37</v>
      </c>
      <c r="G195" s="7" t="str">
        <f>IFERROR(INDEX(Chart_of_Accounts!$B$2:$B$18,MATCH(F195,Chart_of_Accounts!$A$2:$A$18,0)),"")</f>
        <v>Inventory</v>
      </c>
      <c r="H195" s="7" t="str">
        <f>IFERROR(INDEX(Chart_of_Accounts!$C$2:$C$18,MATCH(F195,Chart_of_Accounts!$A$2:$A$18,0)),"")</f>
        <v>Asset</v>
      </c>
      <c r="I195" s="9"/>
      <c r="J195" s="9">
        <v>29280</v>
      </c>
      <c r="K195" s="7" t="s">
        <v>149</v>
      </c>
      <c r="L195" s="7" t="s">
        <v>113</v>
      </c>
      <c r="M195" s="7" t="s">
        <v>114</v>
      </c>
      <c r="N195" s="7" t="s">
        <v>86</v>
      </c>
      <c r="O195" s="7" t="str">
        <f>IFERROR(INDEX(Vendors!$B$2:$B$10,MATCH(N195,Vendors!$A$2:$A$10,0)),"")</f>
        <v>Gulf Coast Meat Supply</v>
      </c>
      <c r="P195" s="7" t="s">
        <v>136</v>
      </c>
    </row>
    <row r="196" spans="1:16" x14ac:dyDescent="0.25">
      <c r="A196" s="7">
        <v>98</v>
      </c>
      <c r="B196" s="7" t="s">
        <v>235</v>
      </c>
      <c r="C196" s="8">
        <v>46037</v>
      </c>
      <c r="D196" s="7" t="s">
        <v>78</v>
      </c>
      <c r="E196" s="7" t="str">
        <f>IFERROR(INDEX(Restaurants!$B$2:$B$6,MATCH(D196,Restaurants!$A$2:$A$6,0)),"")</f>
        <v>Trailhead Burger Co. #103 - Corpus Christi, TX</v>
      </c>
      <c r="F196" s="7" t="s">
        <v>58</v>
      </c>
      <c r="G196" s="7" t="str">
        <f>IFERROR(INDEX(Chart_of_Accounts!$B$2:$B$18,MATCH(F196,Chart_of_Accounts!$A$2:$A$18,0)),"")</f>
        <v>Labor</v>
      </c>
      <c r="H196" s="7" t="str">
        <f>IFERROR(INDEX(Chart_of_Accounts!$C$2:$C$18,MATCH(F196,Chart_of_Accounts!$A$2:$A$18,0)),"")</f>
        <v>Expense</v>
      </c>
      <c r="I196" s="9">
        <v>25376</v>
      </c>
      <c r="J196" s="9"/>
      <c r="K196" s="7" t="s">
        <v>151</v>
      </c>
      <c r="L196" s="7" t="s">
        <v>32</v>
      </c>
      <c r="M196" s="7" t="s">
        <v>114</v>
      </c>
      <c r="N196" s="7"/>
      <c r="O196" s="7"/>
      <c r="P196" s="7" t="s">
        <v>152</v>
      </c>
    </row>
    <row r="197" spans="1:16" x14ac:dyDescent="0.25">
      <c r="A197" s="7">
        <v>98</v>
      </c>
      <c r="B197" s="7" t="s">
        <v>235</v>
      </c>
      <c r="C197" s="8">
        <v>46037</v>
      </c>
      <c r="D197" s="7" t="s">
        <v>78</v>
      </c>
      <c r="E197" s="7" t="str">
        <f>IFERROR(INDEX(Restaurants!$B$2:$B$6,MATCH(D197,Restaurants!$A$2:$A$6,0)),"")</f>
        <v>Trailhead Burger Co. #103 - Corpus Christi, TX</v>
      </c>
      <c r="F197" s="7" t="s">
        <v>31</v>
      </c>
      <c r="G197" s="7" t="str">
        <f>IFERROR(INDEX(Chart_of_Accounts!$B$2:$B$18,MATCH(F197,Chart_of_Accounts!$A$2:$A$18,0)),"")</f>
        <v>Cash</v>
      </c>
      <c r="H197" s="7" t="str">
        <f>IFERROR(INDEX(Chart_of_Accounts!$C$2:$C$18,MATCH(F197,Chart_of_Accounts!$A$2:$A$18,0)),"")</f>
        <v>Asset</v>
      </c>
      <c r="I197" s="9"/>
      <c r="J197" s="9">
        <v>25376</v>
      </c>
      <c r="K197" s="7" t="s">
        <v>151</v>
      </c>
      <c r="L197" s="7" t="s">
        <v>32</v>
      </c>
      <c r="M197" s="7" t="s">
        <v>114</v>
      </c>
      <c r="N197" s="7"/>
      <c r="O197" s="7"/>
      <c r="P197" s="7" t="s">
        <v>152</v>
      </c>
    </row>
    <row r="198" spans="1:16" x14ac:dyDescent="0.25">
      <c r="A198" s="7">
        <v>99</v>
      </c>
      <c r="B198" s="7" t="s">
        <v>236</v>
      </c>
      <c r="C198" s="8">
        <v>46023</v>
      </c>
      <c r="D198" s="7" t="s">
        <v>78</v>
      </c>
      <c r="E198" s="7" t="str">
        <f>IFERROR(INDEX(Restaurants!$B$2:$B$6,MATCH(D198,Restaurants!$A$2:$A$6,0)),"")</f>
        <v>Trailhead Burger Co. #103 - Corpus Christi, TX</v>
      </c>
      <c r="F198" s="7" t="s">
        <v>60</v>
      </c>
      <c r="G198" s="7" t="str">
        <f>IFERROR(INDEX(Chart_of_Accounts!$B$2:$B$18,MATCH(F198,Chart_of_Accounts!$A$2:$A$18,0)),"")</f>
        <v>Rent</v>
      </c>
      <c r="H198" s="7" t="str">
        <f>IFERROR(INDEX(Chart_of_Accounts!$C$2:$C$18,MATCH(F198,Chart_of_Accounts!$A$2:$A$18,0)),"")</f>
        <v>Expense</v>
      </c>
      <c r="I198" s="9">
        <v>7500</v>
      </c>
      <c r="J198" s="9"/>
      <c r="K198" s="7" t="s">
        <v>154</v>
      </c>
      <c r="L198" s="7" t="s">
        <v>32</v>
      </c>
      <c r="M198" s="7" t="s">
        <v>114</v>
      </c>
      <c r="N198" s="7" t="s">
        <v>98</v>
      </c>
      <c r="O198" s="7" t="str">
        <f>IFERROR(INDEX(Vendors!$B$2:$B$10,MATCH(N198,Vendors!$A$2:$A$10,0)),"")</f>
        <v>Prime Property Management</v>
      </c>
      <c r="P198" s="7" t="s">
        <v>115</v>
      </c>
    </row>
    <row r="199" spans="1:16" x14ac:dyDescent="0.25">
      <c r="A199" s="7">
        <v>99</v>
      </c>
      <c r="B199" s="7" t="s">
        <v>236</v>
      </c>
      <c r="C199" s="8">
        <v>46023</v>
      </c>
      <c r="D199" s="7" t="s">
        <v>78</v>
      </c>
      <c r="E199" s="7" t="str">
        <f>IFERROR(INDEX(Restaurants!$B$2:$B$6,MATCH(D199,Restaurants!$A$2:$A$6,0)),"")</f>
        <v>Trailhead Burger Co. #103 - Corpus Christi, TX</v>
      </c>
      <c r="F199" s="7" t="s">
        <v>31</v>
      </c>
      <c r="G199" s="7" t="str">
        <f>IFERROR(INDEX(Chart_of_Accounts!$B$2:$B$18,MATCH(F199,Chart_of_Accounts!$A$2:$A$18,0)),"")</f>
        <v>Cash</v>
      </c>
      <c r="H199" s="7" t="str">
        <f>IFERROR(INDEX(Chart_of_Accounts!$C$2:$C$18,MATCH(F199,Chart_of_Accounts!$A$2:$A$18,0)),"")</f>
        <v>Asset</v>
      </c>
      <c r="I199" s="9"/>
      <c r="J199" s="9">
        <v>7500</v>
      </c>
      <c r="K199" s="7" t="s">
        <v>154</v>
      </c>
      <c r="L199" s="7" t="s">
        <v>32</v>
      </c>
      <c r="M199" s="7" t="s">
        <v>114</v>
      </c>
      <c r="N199" s="7" t="s">
        <v>98</v>
      </c>
      <c r="O199" s="7" t="str">
        <f>IFERROR(INDEX(Vendors!$B$2:$B$10,MATCH(N199,Vendors!$A$2:$A$10,0)),"")</f>
        <v>Prime Property Management</v>
      </c>
      <c r="P199" s="7" t="s">
        <v>115</v>
      </c>
    </row>
    <row r="200" spans="1:16" x14ac:dyDescent="0.25">
      <c r="A200" s="7">
        <v>100</v>
      </c>
      <c r="B200" s="7" t="s">
        <v>237</v>
      </c>
      <c r="C200" s="8">
        <v>46042</v>
      </c>
      <c r="D200" s="7" t="s">
        <v>78</v>
      </c>
      <c r="E200" s="7" t="str">
        <f>IFERROR(INDEX(Restaurants!$B$2:$B$6,MATCH(D200,Restaurants!$A$2:$A$6,0)),"")</f>
        <v>Trailhead Burger Co. #103 - Corpus Christi, TX</v>
      </c>
      <c r="F200" s="7" t="s">
        <v>62</v>
      </c>
      <c r="G200" s="7" t="str">
        <f>IFERROR(INDEX(Chart_of_Accounts!$B$2:$B$18,MATCH(F200,Chart_of_Accounts!$A$2:$A$18,0)),"")</f>
        <v>Utilities</v>
      </c>
      <c r="H200" s="7" t="str">
        <f>IFERROR(INDEX(Chart_of_Accounts!$C$2:$C$18,MATCH(F200,Chart_of_Accounts!$A$2:$A$18,0)),"")</f>
        <v>Expense</v>
      </c>
      <c r="I200" s="9">
        <v>2100</v>
      </c>
      <c r="J200" s="9"/>
      <c r="K200" s="7" t="s">
        <v>156</v>
      </c>
      <c r="L200" s="7" t="s">
        <v>32</v>
      </c>
      <c r="M200" s="7" t="s">
        <v>114</v>
      </c>
      <c r="N200" s="7" t="s">
        <v>96</v>
      </c>
      <c r="O200" s="7" t="str">
        <f>IFERROR(INDEX(Vendors!$B$2:$B$10,MATCH(N200,Vendors!$A$2:$A$10,0)),"")</f>
        <v>CityWide Utilities</v>
      </c>
      <c r="P200" s="7" t="s">
        <v>157</v>
      </c>
    </row>
    <row r="201" spans="1:16" x14ac:dyDescent="0.25">
      <c r="A201" s="7">
        <v>100</v>
      </c>
      <c r="B201" s="7" t="s">
        <v>237</v>
      </c>
      <c r="C201" s="8">
        <v>46042</v>
      </c>
      <c r="D201" s="7" t="s">
        <v>78</v>
      </c>
      <c r="E201" s="7" t="str">
        <f>IFERROR(INDEX(Restaurants!$B$2:$B$6,MATCH(D201,Restaurants!$A$2:$A$6,0)),"")</f>
        <v>Trailhead Burger Co. #103 - Corpus Christi, TX</v>
      </c>
      <c r="F201" s="7" t="s">
        <v>31</v>
      </c>
      <c r="G201" s="7" t="str">
        <f>IFERROR(INDEX(Chart_of_Accounts!$B$2:$B$18,MATCH(F201,Chart_of_Accounts!$A$2:$A$18,0)),"")</f>
        <v>Cash</v>
      </c>
      <c r="H201" s="7" t="str">
        <f>IFERROR(INDEX(Chart_of_Accounts!$C$2:$C$18,MATCH(F201,Chart_of_Accounts!$A$2:$A$18,0)),"")</f>
        <v>Asset</v>
      </c>
      <c r="I201" s="9"/>
      <c r="J201" s="9">
        <v>2100</v>
      </c>
      <c r="K201" s="7" t="s">
        <v>156</v>
      </c>
      <c r="L201" s="7" t="s">
        <v>32</v>
      </c>
      <c r="M201" s="7" t="s">
        <v>114</v>
      </c>
      <c r="N201" s="7" t="s">
        <v>96</v>
      </c>
      <c r="O201" s="7" t="str">
        <f>IFERROR(INDEX(Vendors!$B$2:$B$10,MATCH(N201,Vendors!$A$2:$A$10,0)),"")</f>
        <v>CityWide Utilities</v>
      </c>
      <c r="P201" s="7" t="s">
        <v>157</v>
      </c>
    </row>
    <row r="202" spans="1:16" x14ac:dyDescent="0.25">
      <c r="A202" s="7">
        <v>101</v>
      </c>
      <c r="B202" s="7" t="s">
        <v>238</v>
      </c>
      <c r="C202" s="8">
        <v>46050</v>
      </c>
      <c r="D202" s="7" t="s">
        <v>78</v>
      </c>
      <c r="E202" s="7" t="str">
        <f>IFERROR(INDEX(Restaurants!$B$2:$B$6,MATCH(D202,Restaurants!$A$2:$A$6,0)),"")</f>
        <v>Trailhead Burger Co. #103 - Corpus Christi, TX</v>
      </c>
      <c r="F202" s="7" t="s">
        <v>66</v>
      </c>
      <c r="G202" s="7" t="str">
        <f>IFERROR(INDEX(Chart_of_Accounts!$B$2:$B$18,MATCH(F202,Chart_of_Accounts!$A$2:$A$18,0)),"")</f>
        <v>CC Processing Fees</v>
      </c>
      <c r="H202" s="7" t="str">
        <f>IFERROR(INDEX(Chart_of_Accounts!$C$2:$C$18,MATCH(F202,Chart_of_Accounts!$A$2:$A$18,0)),"")</f>
        <v>Expense</v>
      </c>
      <c r="I202" s="9">
        <v>2440</v>
      </c>
      <c r="J202" s="9"/>
      <c r="K202" s="7" t="s">
        <v>159</v>
      </c>
      <c r="L202" s="7" t="s">
        <v>32</v>
      </c>
      <c r="M202" s="7" t="s">
        <v>114</v>
      </c>
      <c r="N202" s="7"/>
      <c r="O202" s="7"/>
      <c r="P202" s="7" t="s">
        <v>115</v>
      </c>
    </row>
    <row r="203" spans="1:16" x14ac:dyDescent="0.25">
      <c r="A203" s="7">
        <v>101</v>
      </c>
      <c r="B203" s="7" t="s">
        <v>238</v>
      </c>
      <c r="C203" s="8">
        <v>46050</v>
      </c>
      <c r="D203" s="7" t="s">
        <v>78</v>
      </c>
      <c r="E203" s="7" t="str">
        <f>IFERROR(INDEX(Restaurants!$B$2:$B$6,MATCH(D203,Restaurants!$A$2:$A$6,0)),"")</f>
        <v>Trailhead Burger Co. #103 - Corpus Christi, TX</v>
      </c>
      <c r="F203" s="7" t="s">
        <v>31</v>
      </c>
      <c r="G203" s="7" t="str">
        <f>IFERROR(INDEX(Chart_of_Accounts!$B$2:$B$18,MATCH(F203,Chart_of_Accounts!$A$2:$A$18,0)),"")</f>
        <v>Cash</v>
      </c>
      <c r="H203" s="7" t="str">
        <f>IFERROR(INDEX(Chart_of_Accounts!$C$2:$C$18,MATCH(F203,Chart_of_Accounts!$A$2:$A$18,0)),"")</f>
        <v>Asset</v>
      </c>
      <c r="I203" s="9"/>
      <c r="J203" s="9">
        <v>2440</v>
      </c>
      <c r="K203" s="7" t="s">
        <v>159</v>
      </c>
      <c r="L203" s="7" t="s">
        <v>32</v>
      </c>
      <c r="M203" s="7" t="s">
        <v>114</v>
      </c>
      <c r="N203" s="7"/>
      <c r="O203" s="7"/>
      <c r="P203" s="7" t="s">
        <v>115</v>
      </c>
    </row>
    <row r="204" spans="1:16" x14ac:dyDescent="0.25">
      <c r="A204" s="7">
        <v>102</v>
      </c>
      <c r="B204" s="7" t="s">
        <v>239</v>
      </c>
      <c r="C204" s="8">
        <v>46034</v>
      </c>
      <c r="D204" s="7" t="s">
        <v>78</v>
      </c>
      <c r="E204" s="7" t="str">
        <f>IFERROR(INDEX(Restaurants!$B$2:$B$6,MATCH(D204,Restaurants!$A$2:$A$6,0)),"")</f>
        <v>Trailhead Burger Co. #103 - Corpus Christi, TX</v>
      </c>
      <c r="F204" s="7" t="s">
        <v>68</v>
      </c>
      <c r="G204" s="7" t="str">
        <f>IFERROR(INDEX(Chart_of_Accounts!$B$2:$B$18,MATCH(F204,Chart_of_Accounts!$A$2:$A$18,0)),"")</f>
        <v>Marketing</v>
      </c>
      <c r="H204" s="7" t="str">
        <f>IFERROR(INDEX(Chart_of_Accounts!$C$2:$C$18,MATCH(F204,Chart_of_Accounts!$A$2:$A$18,0)),"")</f>
        <v>Expense</v>
      </c>
      <c r="I204" s="9">
        <v>2928</v>
      </c>
      <c r="J204" s="9"/>
      <c r="K204" s="7" t="s">
        <v>161</v>
      </c>
      <c r="L204" s="7" t="s">
        <v>32</v>
      </c>
      <c r="M204" s="7" t="s">
        <v>114</v>
      </c>
      <c r="N204" s="7" t="s">
        <v>100</v>
      </c>
      <c r="O204" s="7" t="str">
        <f>IFERROR(INDEX(Vendors!$B$2:$B$10,MATCH(N204,Vendors!$A$2:$A$10,0)),"")</f>
        <v>BrightSign Marketing Agency</v>
      </c>
      <c r="P204" s="7" t="s">
        <v>69</v>
      </c>
    </row>
    <row r="205" spans="1:16" x14ac:dyDescent="0.25">
      <c r="A205" s="7">
        <v>102</v>
      </c>
      <c r="B205" s="7" t="s">
        <v>239</v>
      </c>
      <c r="C205" s="8">
        <v>46034</v>
      </c>
      <c r="D205" s="7" t="s">
        <v>78</v>
      </c>
      <c r="E205" s="7" t="str">
        <f>IFERROR(INDEX(Restaurants!$B$2:$B$6,MATCH(D205,Restaurants!$A$2:$A$6,0)),"")</f>
        <v>Trailhead Burger Co. #103 - Corpus Christi, TX</v>
      </c>
      <c r="F205" s="7" t="s">
        <v>31</v>
      </c>
      <c r="G205" s="7" t="str">
        <f>IFERROR(INDEX(Chart_of_Accounts!$B$2:$B$18,MATCH(F205,Chart_of_Accounts!$A$2:$A$18,0)),"")</f>
        <v>Cash</v>
      </c>
      <c r="H205" s="7" t="str">
        <f>IFERROR(INDEX(Chart_of_Accounts!$C$2:$C$18,MATCH(F205,Chart_of_Accounts!$A$2:$A$18,0)),"")</f>
        <v>Asset</v>
      </c>
      <c r="I205" s="9"/>
      <c r="J205" s="9">
        <v>2928</v>
      </c>
      <c r="K205" s="7" t="s">
        <v>161</v>
      </c>
      <c r="L205" s="7" t="s">
        <v>32</v>
      </c>
      <c r="M205" s="7" t="s">
        <v>114</v>
      </c>
      <c r="N205" s="7" t="s">
        <v>100</v>
      </c>
      <c r="O205" s="7" t="str">
        <f>IFERROR(INDEX(Vendors!$B$2:$B$10,MATCH(N205,Vendors!$A$2:$A$10,0)),"")</f>
        <v>BrightSign Marketing Agency</v>
      </c>
      <c r="P205" s="7" t="s">
        <v>69</v>
      </c>
    </row>
    <row r="206" spans="1:16" x14ac:dyDescent="0.25">
      <c r="A206" s="7">
        <v>103</v>
      </c>
      <c r="B206" s="7" t="s">
        <v>240</v>
      </c>
      <c r="C206" s="8">
        <v>46052</v>
      </c>
      <c r="D206" s="7" t="s">
        <v>78</v>
      </c>
      <c r="E206" s="7" t="str">
        <f>IFERROR(INDEX(Restaurants!$B$2:$B$6,MATCH(D206,Restaurants!$A$2:$A$6,0)),"")</f>
        <v>Trailhead Burger Co. #103 - Corpus Christi, TX</v>
      </c>
      <c r="F206" s="7" t="s">
        <v>70</v>
      </c>
      <c r="G206" s="7" t="str">
        <f>IFERROR(INDEX(Chart_of_Accounts!$B$2:$B$18,MATCH(F206,Chart_of_Accounts!$A$2:$A$18,0)),"")</f>
        <v>Franchise Fees</v>
      </c>
      <c r="H206" s="7" t="str">
        <f>IFERROR(INDEX(Chart_of_Accounts!$C$2:$C$18,MATCH(F206,Chart_of_Accounts!$A$2:$A$18,0)),"")</f>
        <v>Expense</v>
      </c>
      <c r="I206" s="9">
        <v>3904</v>
      </c>
      <c r="J206" s="9"/>
      <c r="K206" s="7" t="s">
        <v>163</v>
      </c>
      <c r="L206" s="7" t="s">
        <v>32</v>
      </c>
      <c r="M206" s="7" t="s">
        <v>114</v>
      </c>
      <c r="N206" s="7" t="s">
        <v>102</v>
      </c>
      <c r="O206" s="7" t="str">
        <f>IFERROR(INDEX(Vendors!$B$2:$B$10,MATCH(N206,Vendors!$A$2:$A$10,0)),"")</f>
        <v>Trailhead Burger Co. - Corporate</v>
      </c>
      <c r="P206" s="7" t="s">
        <v>115</v>
      </c>
    </row>
    <row r="207" spans="1:16" x14ac:dyDescent="0.25">
      <c r="A207" s="7">
        <v>103</v>
      </c>
      <c r="B207" s="7" t="s">
        <v>240</v>
      </c>
      <c r="C207" s="8">
        <v>46052</v>
      </c>
      <c r="D207" s="7" t="s">
        <v>78</v>
      </c>
      <c r="E207" s="7" t="str">
        <f>IFERROR(INDEX(Restaurants!$B$2:$B$6,MATCH(D207,Restaurants!$A$2:$A$6,0)),"")</f>
        <v>Trailhead Burger Co. #103 - Corpus Christi, TX</v>
      </c>
      <c r="F207" s="7" t="s">
        <v>31</v>
      </c>
      <c r="G207" s="7" t="str">
        <f>IFERROR(INDEX(Chart_of_Accounts!$B$2:$B$18,MATCH(F207,Chart_of_Accounts!$A$2:$A$18,0)),"")</f>
        <v>Cash</v>
      </c>
      <c r="H207" s="7" t="str">
        <f>IFERROR(INDEX(Chart_of_Accounts!$C$2:$C$18,MATCH(F207,Chart_of_Accounts!$A$2:$A$18,0)),"")</f>
        <v>Asset</v>
      </c>
      <c r="I207" s="9"/>
      <c r="J207" s="9">
        <v>3904</v>
      </c>
      <c r="K207" s="7" t="s">
        <v>163</v>
      </c>
      <c r="L207" s="7" t="s">
        <v>32</v>
      </c>
      <c r="M207" s="7" t="s">
        <v>114</v>
      </c>
      <c r="N207" s="7" t="s">
        <v>102</v>
      </c>
      <c r="O207" s="7" t="str">
        <f>IFERROR(INDEX(Vendors!$B$2:$B$10,MATCH(N207,Vendors!$A$2:$A$10,0)),"")</f>
        <v>Trailhead Burger Co. - Corporate</v>
      </c>
      <c r="P207" s="7" t="s">
        <v>115</v>
      </c>
    </row>
    <row r="208" spans="1:16" x14ac:dyDescent="0.25">
      <c r="A208" s="7">
        <v>104</v>
      </c>
      <c r="B208" s="7" t="s">
        <v>241</v>
      </c>
      <c r="C208" s="8">
        <v>46058</v>
      </c>
      <c r="D208" s="7" t="s">
        <v>78</v>
      </c>
      <c r="E208" s="7" t="str">
        <f>IFERROR(INDEX(Restaurants!$B$2:$B$6,MATCH(D208,Restaurants!$A$2:$A$6,0)),"")</f>
        <v>Trailhead Burger Co. #103 - Corpus Christi, TX</v>
      </c>
      <c r="F208" s="7" t="s">
        <v>31</v>
      </c>
      <c r="G208" s="7" t="str">
        <f>IFERROR(INDEX(Chart_of_Accounts!$B$2:$B$18,MATCH(F208,Chart_of_Accounts!$A$2:$A$18,0)),"")</f>
        <v>Cash</v>
      </c>
      <c r="H208" s="7" t="str">
        <f>IFERROR(INDEX(Chart_of_Accounts!$C$2:$C$18,MATCH(F208,Chart_of_Accounts!$A$2:$A$18,0)),"")</f>
        <v>Asset</v>
      </c>
      <c r="I208" s="9">
        <v>81600</v>
      </c>
      <c r="J208" s="9"/>
      <c r="K208" s="7" t="s">
        <v>134</v>
      </c>
      <c r="L208" s="7" t="s">
        <v>32</v>
      </c>
      <c r="M208" s="7" t="s">
        <v>135</v>
      </c>
      <c r="N208" s="7"/>
      <c r="O208" s="7"/>
      <c r="P208" s="7" t="s">
        <v>136</v>
      </c>
    </row>
    <row r="209" spans="1:16" x14ac:dyDescent="0.25">
      <c r="A209" s="7">
        <v>104</v>
      </c>
      <c r="B209" s="7" t="s">
        <v>241</v>
      </c>
      <c r="C209" s="8">
        <v>46058</v>
      </c>
      <c r="D209" s="7" t="s">
        <v>78</v>
      </c>
      <c r="E209" s="7" t="str">
        <f>IFERROR(INDEX(Restaurants!$B$2:$B$6,MATCH(D209,Restaurants!$A$2:$A$6,0)),"")</f>
        <v>Trailhead Burger Co. #103 - Corpus Christi, TX</v>
      </c>
      <c r="F209" s="7" t="s">
        <v>50</v>
      </c>
      <c r="G209" s="7" t="str">
        <f>IFERROR(INDEX(Chart_of_Accounts!$B$2:$B$18,MATCH(F209,Chart_of_Accounts!$A$2:$A$18,0)),"")</f>
        <v>Restaurant Sales</v>
      </c>
      <c r="H209" s="7" t="str">
        <f>IFERROR(INDEX(Chart_of_Accounts!$C$2:$C$18,MATCH(F209,Chart_of_Accounts!$A$2:$A$18,0)),"")</f>
        <v>Revenue</v>
      </c>
      <c r="I209" s="9"/>
      <c r="J209" s="9">
        <v>81600</v>
      </c>
      <c r="K209" s="7" t="s">
        <v>134</v>
      </c>
      <c r="L209" s="7" t="s">
        <v>32</v>
      </c>
      <c r="M209" s="7" t="s">
        <v>135</v>
      </c>
      <c r="N209" s="7"/>
      <c r="O209" s="7"/>
      <c r="P209" s="7" t="s">
        <v>136</v>
      </c>
    </row>
    <row r="210" spans="1:16" x14ac:dyDescent="0.25">
      <c r="A210" s="7">
        <v>105</v>
      </c>
      <c r="B210" s="7" t="s">
        <v>242</v>
      </c>
      <c r="C210" s="8">
        <v>46060</v>
      </c>
      <c r="D210" s="7" t="s">
        <v>78</v>
      </c>
      <c r="E210" s="7" t="str">
        <f>IFERROR(INDEX(Restaurants!$B$2:$B$6,MATCH(D210,Restaurants!$A$2:$A$6,0)),"")</f>
        <v>Trailhead Burger Co. #103 - Corpus Christi, TX</v>
      </c>
      <c r="F210" s="7" t="s">
        <v>35</v>
      </c>
      <c r="G210" s="7" t="str">
        <f>IFERROR(INDEX(Chart_of_Accounts!$B$2:$B$18,MATCH(F210,Chart_of_Accounts!$A$2:$A$18,0)),"")</f>
        <v>Accounts Receivable</v>
      </c>
      <c r="H210" s="7" t="str">
        <f>IFERROR(INDEX(Chart_of_Accounts!$C$2:$C$18,MATCH(F210,Chart_of_Accounts!$A$2:$A$18,0)),"")</f>
        <v>Asset</v>
      </c>
      <c r="I210" s="9">
        <v>17952</v>
      </c>
      <c r="J210" s="9"/>
      <c r="K210" s="7" t="s">
        <v>138</v>
      </c>
      <c r="L210" s="7" t="s">
        <v>139</v>
      </c>
      <c r="M210" s="7" t="s">
        <v>140</v>
      </c>
      <c r="N210" s="7" t="s">
        <v>94</v>
      </c>
      <c r="O210" s="7" t="str">
        <f>IFERROR(INDEX(Vendors!$B$2:$B$10,MATCH(N210,Vendors!$A$2:$A$10,0)),"")</f>
        <v>QuickDash Delivery Platform</v>
      </c>
      <c r="P210" s="7" t="s">
        <v>136</v>
      </c>
    </row>
    <row r="211" spans="1:16" x14ac:dyDescent="0.25">
      <c r="A211" s="7">
        <v>105</v>
      </c>
      <c r="B211" s="7" t="s">
        <v>242</v>
      </c>
      <c r="C211" s="8">
        <v>46060</v>
      </c>
      <c r="D211" s="7" t="s">
        <v>78</v>
      </c>
      <c r="E211" s="7" t="str">
        <f>IFERROR(INDEX(Restaurants!$B$2:$B$6,MATCH(D211,Restaurants!$A$2:$A$6,0)),"")</f>
        <v>Trailhead Burger Co. #103 - Corpus Christi, TX</v>
      </c>
      <c r="F211" s="7" t="s">
        <v>53</v>
      </c>
      <c r="G211" s="7" t="str">
        <f>IFERROR(INDEX(Chart_of_Accounts!$B$2:$B$18,MATCH(F211,Chart_of_Accounts!$A$2:$A$18,0)),"")</f>
        <v>Delivery Sales</v>
      </c>
      <c r="H211" s="7" t="str">
        <f>IFERROR(INDEX(Chart_of_Accounts!$C$2:$C$18,MATCH(F211,Chart_of_Accounts!$A$2:$A$18,0)),"")</f>
        <v>Revenue</v>
      </c>
      <c r="I211" s="9"/>
      <c r="J211" s="9">
        <v>17952</v>
      </c>
      <c r="K211" s="7" t="s">
        <v>138</v>
      </c>
      <c r="L211" s="7" t="s">
        <v>139</v>
      </c>
      <c r="M211" s="7" t="s">
        <v>140</v>
      </c>
      <c r="N211" s="7" t="s">
        <v>94</v>
      </c>
      <c r="O211" s="7" t="str">
        <f>IFERROR(INDEX(Vendors!$B$2:$B$10,MATCH(N211,Vendors!$A$2:$A$10,0)),"")</f>
        <v>QuickDash Delivery Platform</v>
      </c>
      <c r="P211" s="7" t="s">
        <v>136</v>
      </c>
    </row>
    <row r="212" spans="1:16" x14ac:dyDescent="0.25">
      <c r="A212" s="7">
        <v>106</v>
      </c>
      <c r="B212" s="7" t="s">
        <v>243</v>
      </c>
      <c r="C212" s="8">
        <v>46063</v>
      </c>
      <c r="D212" s="7" t="s">
        <v>78</v>
      </c>
      <c r="E212" s="7" t="str">
        <f>IFERROR(INDEX(Restaurants!$B$2:$B$6,MATCH(D212,Restaurants!$A$2:$A$6,0)),"")</f>
        <v>Trailhead Burger Co. #103 - Corpus Christi, TX</v>
      </c>
      <c r="F212" s="7" t="s">
        <v>31</v>
      </c>
      <c r="G212" s="7" t="str">
        <f>IFERROR(INDEX(Chart_of_Accounts!$B$2:$B$18,MATCH(F212,Chart_of_Accounts!$A$2:$A$18,0)),"")</f>
        <v>Cash</v>
      </c>
      <c r="H212" s="7" t="str">
        <f>IFERROR(INDEX(Chart_of_Accounts!$C$2:$C$18,MATCH(F212,Chart_of_Accounts!$A$2:$A$18,0)),"")</f>
        <v>Asset</v>
      </c>
      <c r="I212" s="9">
        <v>17952</v>
      </c>
      <c r="J212" s="9"/>
      <c r="K212" s="7" t="s">
        <v>142</v>
      </c>
      <c r="L212" s="7" t="s">
        <v>139</v>
      </c>
      <c r="M212" s="7" t="s">
        <v>140</v>
      </c>
      <c r="N212" s="7" t="s">
        <v>94</v>
      </c>
      <c r="O212" s="7" t="str">
        <f>IFERROR(INDEX(Vendors!$B$2:$B$10,MATCH(N212,Vendors!$A$2:$A$10,0)),"")</f>
        <v>QuickDash Delivery Platform</v>
      </c>
      <c r="P212" s="7" t="s">
        <v>136</v>
      </c>
    </row>
    <row r="213" spans="1:16" x14ac:dyDescent="0.25">
      <c r="A213" s="7">
        <v>106</v>
      </c>
      <c r="B213" s="7" t="s">
        <v>243</v>
      </c>
      <c r="C213" s="8">
        <v>46063</v>
      </c>
      <c r="D213" s="7" t="s">
        <v>78</v>
      </c>
      <c r="E213" s="7" t="str">
        <f>IFERROR(INDEX(Restaurants!$B$2:$B$6,MATCH(D213,Restaurants!$A$2:$A$6,0)),"")</f>
        <v>Trailhead Burger Co. #103 - Corpus Christi, TX</v>
      </c>
      <c r="F213" s="7" t="s">
        <v>35</v>
      </c>
      <c r="G213" s="7" t="str">
        <f>IFERROR(INDEX(Chart_of_Accounts!$B$2:$B$18,MATCH(F213,Chart_of_Accounts!$A$2:$A$18,0)),"")</f>
        <v>Accounts Receivable</v>
      </c>
      <c r="H213" s="7" t="str">
        <f>IFERROR(INDEX(Chart_of_Accounts!$C$2:$C$18,MATCH(F213,Chart_of_Accounts!$A$2:$A$18,0)),"")</f>
        <v>Asset</v>
      </c>
      <c r="I213" s="9"/>
      <c r="J213" s="9">
        <v>17952</v>
      </c>
      <c r="K213" s="7" t="s">
        <v>142</v>
      </c>
      <c r="L213" s="7" t="s">
        <v>139</v>
      </c>
      <c r="M213" s="7" t="s">
        <v>140</v>
      </c>
      <c r="N213" s="7" t="s">
        <v>94</v>
      </c>
      <c r="O213" s="7" t="str">
        <f>IFERROR(INDEX(Vendors!$B$2:$B$10,MATCH(N213,Vendors!$A$2:$A$10,0)),"")</f>
        <v>QuickDash Delivery Platform</v>
      </c>
      <c r="P213" s="7" t="s">
        <v>136</v>
      </c>
    </row>
    <row r="214" spans="1:16" x14ac:dyDescent="0.25">
      <c r="A214" s="7">
        <v>107</v>
      </c>
      <c r="B214" s="7" t="s">
        <v>244</v>
      </c>
      <c r="C214" s="8">
        <v>46063</v>
      </c>
      <c r="D214" s="7" t="s">
        <v>78</v>
      </c>
      <c r="E214" s="7" t="str">
        <f>IFERROR(INDEX(Restaurants!$B$2:$B$6,MATCH(D214,Restaurants!$A$2:$A$6,0)),"")</f>
        <v>Trailhead Burger Co. #103 - Corpus Christi, TX</v>
      </c>
      <c r="F214" s="7" t="s">
        <v>64</v>
      </c>
      <c r="G214" s="7" t="str">
        <f>IFERROR(INDEX(Chart_of_Accounts!$B$2:$B$18,MATCH(F214,Chart_of_Accounts!$A$2:$A$18,0)),"")</f>
        <v>Delivery Fees</v>
      </c>
      <c r="H214" s="7" t="str">
        <f>IFERROR(INDEX(Chart_of_Accounts!$C$2:$C$18,MATCH(F214,Chart_of_Accounts!$A$2:$A$18,0)),"")</f>
        <v>Expense</v>
      </c>
      <c r="I214" s="9">
        <v>2692.8</v>
      </c>
      <c r="J214" s="9"/>
      <c r="K214" s="7" t="s">
        <v>144</v>
      </c>
      <c r="L214" s="7" t="s">
        <v>32</v>
      </c>
      <c r="M214" s="7" t="s">
        <v>140</v>
      </c>
      <c r="N214" s="7" t="s">
        <v>94</v>
      </c>
      <c r="O214" s="7" t="str">
        <f>IFERROR(INDEX(Vendors!$B$2:$B$10,MATCH(N214,Vendors!$A$2:$A$10,0)),"")</f>
        <v>QuickDash Delivery Platform</v>
      </c>
      <c r="P214" s="7" t="s">
        <v>136</v>
      </c>
    </row>
    <row r="215" spans="1:16" x14ac:dyDescent="0.25">
      <c r="A215" s="7">
        <v>107</v>
      </c>
      <c r="B215" s="7" t="s">
        <v>244</v>
      </c>
      <c r="C215" s="8">
        <v>46063</v>
      </c>
      <c r="D215" s="7" t="s">
        <v>78</v>
      </c>
      <c r="E215" s="7" t="str">
        <f>IFERROR(INDEX(Restaurants!$B$2:$B$6,MATCH(D215,Restaurants!$A$2:$A$6,0)),"")</f>
        <v>Trailhead Burger Co. #103 - Corpus Christi, TX</v>
      </c>
      <c r="F215" s="7" t="s">
        <v>31</v>
      </c>
      <c r="G215" s="7" t="str">
        <f>IFERROR(INDEX(Chart_of_Accounts!$B$2:$B$18,MATCH(F215,Chart_of_Accounts!$A$2:$A$18,0)),"")</f>
        <v>Cash</v>
      </c>
      <c r="H215" s="7" t="str">
        <f>IFERROR(INDEX(Chart_of_Accounts!$C$2:$C$18,MATCH(F215,Chart_of_Accounts!$A$2:$A$18,0)),"")</f>
        <v>Asset</v>
      </c>
      <c r="I215" s="9"/>
      <c r="J215" s="9">
        <v>2692.8</v>
      </c>
      <c r="K215" s="7" t="s">
        <v>144</v>
      </c>
      <c r="L215" s="7" t="s">
        <v>32</v>
      </c>
      <c r="M215" s="7" t="s">
        <v>140</v>
      </c>
      <c r="N215" s="7" t="s">
        <v>94</v>
      </c>
      <c r="O215" s="7" t="str">
        <f>IFERROR(INDEX(Vendors!$B$2:$B$10,MATCH(N215,Vendors!$A$2:$A$10,0)),"")</f>
        <v>QuickDash Delivery Platform</v>
      </c>
      <c r="P215" s="7" t="s">
        <v>136</v>
      </c>
    </row>
    <row r="216" spans="1:16" x14ac:dyDescent="0.25">
      <c r="A216" s="7">
        <v>108</v>
      </c>
      <c r="B216" s="7" t="s">
        <v>245</v>
      </c>
      <c r="C216" s="8">
        <v>46061</v>
      </c>
      <c r="D216" s="7" t="s">
        <v>78</v>
      </c>
      <c r="E216" s="7" t="str">
        <f>IFERROR(INDEX(Restaurants!$B$2:$B$6,MATCH(D216,Restaurants!$A$2:$A$6,0)),"")</f>
        <v>Trailhead Burger Co. #103 - Corpus Christi, TX</v>
      </c>
      <c r="F216" s="7" t="s">
        <v>37</v>
      </c>
      <c r="G216" s="7" t="str">
        <f>IFERROR(INDEX(Chart_of_Accounts!$B$2:$B$18,MATCH(F216,Chart_of_Accounts!$A$2:$A$18,0)),"")</f>
        <v>Inventory</v>
      </c>
      <c r="H216" s="7" t="str">
        <f>IFERROR(INDEX(Chart_of_Accounts!$C$2:$C$18,MATCH(F216,Chart_of_Accounts!$A$2:$A$18,0)),"")</f>
        <v>Asset</v>
      </c>
      <c r="I216" s="9">
        <v>31358.880000000001</v>
      </c>
      <c r="J216" s="9"/>
      <c r="K216" s="7" t="s">
        <v>146</v>
      </c>
      <c r="L216" s="7" t="s">
        <v>113</v>
      </c>
      <c r="M216" s="7" t="s">
        <v>114</v>
      </c>
      <c r="N216" s="7" t="s">
        <v>88</v>
      </c>
      <c r="O216" s="7" t="str">
        <f>IFERROR(INDEX(Vendors!$B$2:$B$10,MATCH(N216,Vendors!$A$2:$A$10,0)),"")</f>
        <v>Fresh Produce Partners</v>
      </c>
      <c r="P216" s="7" t="s">
        <v>147</v>
      </c>
    </row>
    <row r="217" spans="1:16" x14ac:dyDescent="0.25">
      <c r="A217" s="7">
        <v>108</v>
      </c>
      <c r="B217" s="7" t="s">
        <v>245</v>
      </c>
      <c r="C217" s="8">
        <v>46061</v>
      </c>
      <c r="D217" s="7" t="s">
        <v>78</v>
      </c>
      <c r="E217" s="7" t="str">
        <f>IFERROR(INDEX(Restaurants!$B$2:$B$6,MATCH(D217,Restaurants!$A$2:$A$6,0)),"")</f>
        <v>Trailhead Burger Co. #103 - Corpus Christi, TX</v>
      </c>
      <c r="F217" s="7" t="s">
        <v>41</v>
      </c>
      <c r="G217" s="7" t="str">
        <f>IFERROR(INDEX(Chart_of_Accounts!$B$2:$B$18,MATCH(F217,Chart_of_Accounts!$A$2:$A$18,0)),"")</f>
        <v>Accounts Payable</v>
      </c>
      <c r="H217" s="7" t="str">
        <f>IFERROR(INDEX(Chart_of_Accounts!$C$2:$C$18,MATCH(F217,Chart_of_Accounts!$A$2:$A$18,0)),"")</f>
        <v>Liability</v>
      </c>
      <c r="I217" s="9"/>
      <c r="J217" s="9">
        <v>31358.880000000001</v>
      </c>
      <c r="K217" s="7" t="s">
        <v>146</v>
      </c>
      <c r="L217" s="7" t="s">
        <v>113</v>
      </c>
      <c r="M217" s="7" t="s">
        <v>114</v>
      </c>
      <c r="N217" s="7" t="s">
        <v>88</v>
      </c>
      <c r="O217" s="7" t="str">
        <f>IFERROR(INDEX(Vendors!$B$2:$B$10,MATCH(N217,Vendors!$A$2:$A$10,0)),"")</f>
        <v>Fresh Produce Partners</v>
      </c>
      <c r="P217" s="7" t="s">
        <v>147</v>
      </c>
    </row>
    <row r="218" spans="1:16" x14ac:dyDescent="0.25">
      <c r="A218" s="7">
        <v>109</v>
      </c>
      <c r="B218" s="7" t="s">
        <v>246</v>
      </c>
      <c r="C218" s="8">
        <v>46081</v>
      </c>
      <c r="D218" s="7" t="s">
        <v>78</v>
      </c>
      <c r="E218" s="7" t="str">
        <f>IFERROR(INDEX(Restaurants!$B$2:$B$6,MATCH(D218,Restaurants!$A$2:$A$6,0)),"")</f>
        <v>Trailhead Burger Co. #103 - Corpus Christi, TX</v>
      </c>
      <c r="F218" s="7" t="s">
        <v>55</v>
      </c>
      <c r="G218" s="7" t="str">
        <f>IFERROR(INDEX(Chart_of_Accounts!$B$2:$B$18,MATCH(F218,Chart_of_Accounts!$A$2:$A$18,0)),"")</f>
        <v>Food Cost</v>
      </c>
      <c r="H218" s="7" t="str">
        <f>IFERROR(INDEX(Chart_of_Accounts!$C$2:$C$18,MATCH(F218,Chart_of_Accounts!$A$2:$A$18,0)),"")</f>
        <v>Expense</v>
      </c>
      <c r="I218" s="9">
        <v>29865.599999999999</v>
      </c>
      <c r="J218" s="9"/>
      <c r="K218" s="7" t="s">
        <v>149</v>
      </c>
      <c r="L218" s="7" t="s">
        <v>113</v>
      </c>
      <c r="M218" s="7" t="s">
        <v>114</v>
      </c>
      <c r="N218" s="7" t="s">
        <v>88</v>
      </c>
      <c r="O218" s="7" t="str">
        <f>IFERROR(INDEX(Vendors!$B$2:$B$10,MATCH(N218,Vendors!$A$2:$A$10,0)),"")</f>
        <v>Fresh Produce Partners</v>
      </c>
      <c r="P218" s="7" t="s">
        <v>136</v>
      </c>
    </row>
    <row r="219" spans="1:16" x14ac:dyDescent="0.25">
      <c r="A219" s="7">
        <v>109</v>
      </c>
      <c r="B219" s="7" t="s">
        <v>246</v>
      </c>
      <c r="C219" s="8">
        <v>46081</v>
      </c>
      <c r="D219" s="7" t="s">
        <v>78</v>
      </c>
      <c r="E219" s="7" t="str">
        <f>IFERROR(INDEX(Restaurants!$B$2:$B$6,MATCH(D219,Restaurants!$A$2:$A$6,0)),"")</f>
        <v>Trailhead Burger Co. #103 - Corpus Christi, TX</v>
      </c>
      <c r="F219" s="7" t="s">
        <v>37</v>
      </c>
      <c r="G219" s="7" t="str">
        <f>IFERROR(INDEX(Chart_of_Accounts!$B$2:$B$18,MATCH(F219,Chart_of_Accounts!$A$2:$A$18,0)),"")</f>
        <v>Inventory</v>
      </c>
      <c r="H219" s="7" t="str">
        <f>IFERROR(INDEX(Chart_of_Accounts!$C$2:$C$18,MATCH(F219,Chart_of_Accounts!$A$2:$A$18,0)),"")</f>
        <v>Asset</v>
      </c>
      <c r="I219" s="9"/>
      <c r="J219" s="9">
        <v>29865.599999999999</v>
      </c>
      <c r="K219" s="7" t="s">
        <v>149</v>
      </c>
      <c r="L219" s="7" t="s">
        <v>113</v>
      </c>
      <c r="M219" s="7" t="s">
        <v>114</v>
      </c>
      <c r="N219" s="7" t="s">
        <v>88</v>
      </c>
      <c r="O219" s="7" t="str">
        <f>IFERROR(INDEX(Vendors!$B$2:$B$10,MATCH(N219,Vendors!$A$2:$A$10,0)),"")</f>
        <v>Fresh Produce Partners</v>
      </c>
      <c r="P219" s="7" t="s">
        <v>136</v>
      </c>
    </row>
    <row r="220" spans="1:16" x14ac:dyDescent="0.25">
      <c r="A220" s="7">
        <v>110</v>
      </c>
      <c r="B220" s="7" t="s">
        <v>247</v>
      </c>
      <c r="C220" s="8">
        <v>46068</v>
      </c>
      <c r="D220" s="7" t="s">
        <v>78</v>
      </c>
      <c r="E220" s="7" t="str">
        <f>IFERROR(INDEX(Restaurants!$B$2:$B$6,MATCH(D220,Restaurants!$A$2:$A$6,0)),"")</f>
        <v>Trailhead Burger Co. #103 - Corpus Christi, TX</v>
      </c>
      <c r="F220" s="7" t="s">
        <v>58</v>
      </c>
      <c r="G220" s="7" t="str">
        <f>IFERROR(INDEX(Chart_of_Accounts!$B$2:$B$18,MATCH(F220,Chart_of_Accounts!$A$2:$A$18,0)),"")</f>
        <v>Labor</v>
      </c>
      <c r="H220" s="7" t="str">
        <f>IFERROR(INDEX(Chart_of_Accounts!$C$2:$C$18,MATCH(F220,Chart_of_Accounts!$A$2:$A$18,0)),"")</f>
        <v>Expense</v>
      </c>
      <c r="I220" s="9">
        <v>25883.52</v>
      </c>
      <c r="J220" s="9"/>
      <c r="K220" s="7" t="s">
        <v>151</v>
      </c>
      <c r="L220" s="7" t="s">
        <v>32</v>
      </c>
      <c r="M220" s="7" t="s">
        <v>114</v>
      </c>
      <c r="N220" s="7"/>
      <c r="O220" s="7"/>
      <c r="P220" s="7" t="s">
        <v>152</v>
      </c>
    </row>
    <row r="221" spans="1:16" x14ac:dyDescent="0.25">
      <c r="A221" s="7">
        <v>110</v>
      </c>
      <c r="B221" s="7" t="s">
        <v>247</v>
      </c>
      <c r="C221" s="8">
        <v>46068</v>
      </c>
      <c r="D221" s="7" t="s">
        <v>78</v>
      </c>
      <c r="E221" s="7" t="str">
        <f>IFERROR(INDEX(Restaurants!$B$2:$B$6,MATCH(D221,Restaurants!$A$2:$A$6,0)),"")</f>
        <v>Trailhead Burger Co. #103 - Corpus Christi, TX</v>
      </c>
      <c r="F221" s="7" t="s">
        <v>31</v>
      </c>
      <c r="G221" s="7" t="str">
        <f>IFERROR(INDEX(Chart_of_Accounts!$B$2:$B$18,MATCH(F221,Chart_of_Accounts!$A$2:$A$18,0)),"")</f>
        <v>Cash</v>
      </c>
      <c r="H221" s="7" t="str">
        <f>IFERROR(INDEX(Chart_of_Accounts!$C$2:$C$18,MATCH(F221,Chart_of_Accounts!$A$2:$A$18,0)),"")</f>
        <v>Asset</v>
      </c>
      <c r="I221" s="9"/>
      <c r="J221" s="9">
        <v>25883.52</v>
      </c>
      <c r="K221" s="7" t="s">
        <v>151</v>
      </c>
      <c r="L221" s="7" t="s">
        <v>32</v>
      </c>
      <c r="M221" s="7" t="s">
        <v>114</v>
      </c>
      <c r="N221" s="7"/>
      <c r="O221" s="7"/>
      <c r="P221" s="7" t="s">
        <v>152</v>
      </c>
    </row>
    <row r="222" spans="1:16" x14ac:dyDescent="0.25">
      <c r="A222" s="7">
        <v>111</v>
      </c>
      <c r="B222" s="7" t="s">
        <v>248</v>
      </c>
      <c r="C222" s="8">
        <v>46054</v>
      </c>
      <c r="D222" s="7" t="s">
        <v>78</v>
      </c>
      <c r="E222" s="7" t="str">
        <f>IFERROR(INDEX(Restaurants!$B$2:$B$6,MATCH(D222,Restaurants!$A$2:$A$6,0)),"")</f>
        <v>Trailhead Burger Co. #103 - Corpus Christi, TX</v>
      </c>
      <c r="F222" s="7" t="s">
        <v>60</v>
      </c>
      <c r="G222" s="7" t="str">
        <f>IFERROR(INDEX(Chart_of_Accounts!$B$2:$B$18,MATCH(F222,Chart_of_Accounts!$A$2:$A$18,0)),"")</f>
        <v>Rent</v>
      </c>
      <c r="H222" s="7" t="str">
        <f>IFERROR(INDEX(Chart_of_Accounts!$C$2:$C$18,MATCH(F222,Chart_of_Accounts!$A$2:$A$18,0)),"")</f>
        <v>Expense</v>
      </c>
      <c r="I222" s="9">
        <v>7500</v>
      </c>
      <c r="J222" s="9"/>
      <c r="K222" s="7" t="s">
        <v>154</v>
      </c>
      <c r="L222" s="7" t="s">
        <v>32</v>
      </c>
      <c r="M222" s="7" t="s">
        <v>114</v>
      </c>
      <c r="N222" s="7" t="s">
        <v>98</v>
      </c>
      <c r="O222" s="7" t="str">
        <f>IFERROR(INDEX(Vendors!$B$2:$B$10,MATCH(N222,Vendors!$A$2:$A$10,0)),"")</f>
        <v>Prime Property Management</v>
      </c>
      <c r="P222" s="7" t="s">
        <v>115</v>
      </c>
    </row>
    <row r="223" spans="1:16" x14ac:dyDescent="0.25">
      <c r="A223" s="7">
        <v>111</v>
      </c>
      <c r="B223" s="7" t="s">
        <v>248</v>
      </c>
      <c r="C223" s="8">
        <v>46054</v>
      </c>
      <c r="D223" s="7" t="s">
        <v>78</v>
      </c>
      <c r="E223" s="7" t="str">
        <f>IFERROR(INDEX(Restaurants!$B$2:$B$6,MATCH(D223,Restaurants!$A$2:$A$6,0)),"")</f>
        <v>Trailhead Burger Co. #103 - Corpus Christi, TX</v>
      </c>
      <c r="F223" s="7" t="s">
        <v>31</v>
      </c>
      <c r="G223" s="7" t="str">
        <f>IFERROR(INDEX(Chart_of_Accounts!$B$2:$B$18,MATCH(F223,Chart_of_Accounts!$A$2:$A$18,0)),"")</f>
        <v>Cash</v>
      </c>
      <c r="H223" s="7" t="str">
        <f>IFERROR(INDEX(Chart_of_Accounts!$C$2:$C$18,MATCH(F223,Chart_of_Accounts!$A$2:$A$18,0)),"")</f>
        <v>Asset</v>
      </c>
      <c r="I223" s="9"/>
      <c r="J223" s="9">
        <v>7500</v>
      </c>
      <c r="K223" s="7" t="s">
        <v>154</v>
      </c>
      <c r="L223" s="7" t="s">
        <v>32</v>
      </c>
      <c r="M223" s="7" t="s">
        <v>114</v>
      </c>
      <c r="N223" s="7" t="s">
        <v>98</v>
      </c>
      <c r="O223" s="7" t="str">
        <f>IFERROR(INDEX(Vendors!$B$2:$B$10,MATCH(N223,Vendors!$A$2:$A$10,0)),"")</f>
        <v>Prime Property Management</v>
      </c>
      <c r="P223" s="7" t="s">
        <v>115</v>
      </c>
    </row>
    <row r="224" spans="1:16" x14ac:dyDescent="0.25">
      <c r="A224" s="7">
        <v>112</v>
      </c>
      <c r="B224" s="7" t="s">
        <v>249</v>
      </c>
      <c r="C224" s="8">
        <v>46073</v>
      </c>
      <c r="D224" s="7" t="s">
        <v>78</v>
      </c>
      <c r="E224" s="7" t="str">
        <f>IFERROR(INDEX(Restaurants!$B$2:$B$6,MATCH(D224,Restaurants!$A$2:$A$6,0)),"")</f>
        <v>Trailhead Burger Co. #103 - Corpus Christi, TX</v>
      </c>
      <c r="F224" s="7" t="s">
        <v>62</v>
      </c>
      <c r="G224" s="7" t="str">
        <f>IFERROR(INDEX(Chart_of_Accounts!$B$2:$B$18,MATCH(F224,Chart_of_Accounts!$A$2:$A$18,0)),"")</f>
        <v>Utilities</v>
      </c>
      <c r="H224" s="7" t="str">
        <f>IFERROR(INDEX(Chart_of_Accounts!$C$2:$C$18,MATCH(F224,Chart_of_Accounts!$A$2:$A$18,0)),"")</f>
        <v>Expense</v>
      </c>
      <c r="I224" s="9">
        <v>2163</v>
      </c>
      <c r="J224" s="9"/>
      <c r="K224" s="7" t="s">
        <v>156</v>
      </c>
      <c r="L224" s="7" t="s">
        <v>32</v>
      </c>
      <c r="M224" s="7" t="s">
        <v>114</v>
      </c>
      <c r="N224" s="7" t="s">
        <v>96</v>
      </c>
      <c r="O224" s="7" t="str">
        <f>IFERROR(INDEX(Vendors!$B$2:$B$10,MATCH(N224,Vendors!$A$2:$A$10,0)),"")</f>
        <v>CityWide Utilities</v>
      </c>
      <c r="P224" s="7" t="s">
        <v>157</v>
      </c>
    </row>
    <row r="225" spans="1:16" x14ac:dyDescent="0.25">
      <c r="A225" s="7">
        <v>112</v>
      </c>
      <c r="B225" s="7" t="s">
        <v>249</v>
      </c>
      <c r="C225" s="8">
        <v>46073</v>
      </c>
      <c r="D225" s="7" t="s">
        <v>78</v>
      </c>
      <c r="E225" s="7" t="str">
        <f>IFERROR(INDEX(Restaurants!$B$2:$B$6,MATCH(D225,Restaurants!$A$2:$A$6,0)),"")</f>
        <v>Trailhead Burger Co. #103 - Corpus Christi, TX</v>
      </c>
      <c r="F225" s="7" t="s">
        <v>31</v>
      </c>
      <c r="G225" s="7" t="str">
        <f>IFERROR(INDEX(Chart_of_Accounts!$B$2:$B$18,MATCH(F225,Chart_of_Accounts!$A$2:$A$18,0)),"")</f>
        <v>Cash</v>
      </c>
      <c r="H225" s="7" t="str">
        <f>IFERROR(INDEX(Chart_of_Accounts!$C$2:$C$18,MATCH(F225,Chart_of_Accounts!$A$2:$A$18,0)),"")</f>
        <v>Asset</v>
      </c>
      <c r="I225" s="9"/>
      <c r="J225" s="9">
        <v>2163</v>
      </c>
      <c r="K225" s="7" t="s">
        <v>156</v>
      </c>
      <c r="L225" s="7" t="s">
        <v>32</v>
      </c>
      <c r="M225" s="7" t="s">
        <v>114</v>
      </c>
      <c r="N225" s="7" t="s">
        <v>96</v>
      </c>
      <c r="O225" s="7" t="str">
        <f>IFERROR(INDEX(Vendors!$B$2:$B$10,MATCH(N225,Vendors!$A$2:$A$10,0)),"")</f>
        <v>CityWide Utilities</v>
      </c>
      <c r="P225" s="7" t="s">
        <v>157</v>
      </c>
    </row>
    <row r="226" spans="1:16" x14ac:dyDescent="0.25">
      <c r="A226" s="7">
        <v>113</v>
      </c>
      <c r="B226" s="7" t="s">
        <v>250</v>
      </c>
      <c r="C226" s="8">
        <v>46081</v>
      </c>
      <c r="D226" s="7" t="s">
        <v>78</v>
      </c>
      <c r="E226" s="7" t="str">
        <f>IFERROR(INDEX(Restaurants!$B$2:$B$6,MATCH(D226,Restaurants!$A$2:$A$6,0)),"")</f>
        <v>Trailhead Burger Co. #103 - Corpus Christi, TX</v>
      </c>
      <c r="F226" s="7" t="s">
        <v>66</v>
      </c>
      <c r="G226" s="7" t="str">
        <f>IFERROR(INDEX(Chart_of_Accounts!$B$2:$B$18,MATCH(F226,Chart_of_Accounts!$A$2:$A$18,0)),"")</f>
        <v>CC Processing Fees</v>
      </c>
      <c r="H226" s="7" t="str">
        <f>IFERROR(INDEX(Chart_of_Accounts!$C$2:$C$18,MATCH(F226,Chart_of_Accounts!$A$2:$A$18,0)),"")</f>
        <v>Expense</v>
      </c>
      <c r="I226" s="9">
        <v>2488.8000000000002</v>
      </c>
      <c r="J226" s="9"/>
      <c r="K226" s="7" t="s">
        <v>159</v>
      </c>
      <c r="L226" s="7" t="s">
        <v>32</v>
      </c>
      <c r="M226" s="7" t="s">
        <v>114</v>
      </c>
      <c r="N226" s="7"/>
      <c r="O226" s="7"/>
      <c r="P226" s="7" t="s">
        <v>115</v>
      </c>
    </row>
    <row r="227" spans="1:16" x14ac:dyDescent="0.25">
      <c r="A227" s="7">
        <v>113</v>
      </c>
      <c r="B227" s="7" t="s">
        <v>250</v>
      </c>
      <c r="C227" s="8">
        <v>46081</v>
      </c>
      <c r="D227" s="7" t="s">
        <v>78</v>
      </c>
      <c r="E227" s="7" t="str">
        <f>IFERROR(INDEX(Restaurants!$B$2:$B$6,MATCH(D227,Restaurants!$A$2:$A$6,0)),"")</f>
        <v>Trailhead Burger Co. #103 - Corpus Christi, TX</v>
      </c>
      <c r="F227" s="7" t="s">
        <v>31</v>
      </c>
      <c r="G227" s="7" t="str">
        <f>IFERROR(INDEX(Chart_of_Accounts!$B$2:$B$18,MATCH(F227,Chart_of_Accounts!$A$2:$A$18,0)),"")</f>
        <v>Cash</v>
      </c>
      <c r="H227" s="7" t="str">
        <f>IFERROR(INDEX(Chart_of_Accounts!$C$2:$C$18,MATCH(F227,Chart_of_Accounts!$A$2:$A$18,0)),"")</f>
        <v>Asset</v>
      </c>
      <c r="I227" s="9"/>
      <c r="J227" s="9">
        <v>2488.8000000000002</v>
      </c>
      <c r="K227" s="7" t="s">
        <v>159</v>
      </c>
      <c r="L227" s="7" t="s">
        <v>32</v>
      </c>
      <c r="M227" s="7" t="s">
        <v>114</v>
      </c>
      <c r="N227" s="7"/>
      <c r="O227" s="7"/>
      <c r="P227" s="7" t="s">
        <v>115</v>
      </c>
    </row>
    <row r="228" spans="1:16" x14ac:dyDescent="0.25">
      <c r="A228" s="7">
        <v>114</v>
      </c>
      <c r="B228" s="7" t="s">
        <v>251</v>
      </c>
      <c r="C228" s="8">
        <v>46065</v>
      </c>
      <c r="D228" s="7" t="s">
        <v>78</v>
      </c>
      <c r="E228" s="7" t="str">
        <f>IFERROR(INDEX(Restaurants!$B$2:$B$6,MATCH(D228,Restaurants!$A$2:$A$6,0)),"")</f>
        <v>Trailhead Burger Co. #103 - Corpus Christi, TX</v>
      </c>
      <c r="F228" s="7" t="s">
        <v>68</v>
      </c>
      <c r="G228" s="7" t="str">
        <f>IFERROR(INDEX(Chart_of_Accounts!$B$2:$B$18,MATCH(F228,Chart_of_Accounts!$A$2:$A$18,0)),"")</f>
        <v>Marketing</v>
      </c>
      <c r="H228" s="7" t="str">
        <f>IFERROR(INDEX(Chart_of_Accounts!$C$2:$C$18,MATCH(F228,Chart_of_Accounts!$A$2:$A$18,0)),"")</f>
        <v>Expense</v>
      </c>
      <c r="I228" s="9">
        <v>2986.56</v>
      </c>
      <c r="J228" s="9"/>
      <c r="K228" s="7" t="s">
        <v>161</v>
      </c>
      <c r="L228" s="7" t="s">
        <v>32</v>
      </c>
      <c r="M228" s="7" t="s">
        <v>114</v>
      </c>
      <c r="N228" s="7" t="s">
        <v>100</v>
      </c>
      <c r="O228" s="7" t="str">
        <f>IFERROR(INDEX(Vendors!$B$2:$B$10,MATCH(N228,Vendors!$A$2:$A$10,0)),"")</f>
        <v>BrightSign Marketing Agency</v>
      </c>
      <c r="P228" s="7" t="s">
        <v>69</v>
      </c>
    </row>
    <row r="229" spans="1:16" x14ac:dyDescent="0.25">
      <c r="A229" s="7">
        <v>114</v>
      </c>
      <c r="B229" s="7" t="s">
        <v>251</v>
      </c>
      <c r="C229" s="8">
        <v>46065</v>
      </c>
      <c r="D229" s="7" t="s">
        <v>78</v>
      </c>
      <c r="E229" s="7" t="str">
        <f>IFERROR(INDEX(Restaurants!$B$2:$B$6,MATCH(D229,Restaurants!$A$2:$A$6,0)),"")</f>
        <v>Trailhead Burger Co. #103 - Corpus Christi, TX</v>
      </c>
      <c r="F229" s="7" t="s">
        <v>31</v>
      </c>
      <c r="G229" s="7" t="str">
        <f>IFERROR(INDEX(Chart_of_Accounts!$B$2:$B$18,MATCH(F229,Chart_of_Accounts!$A$2:$A$18,0)),"")</f>
        <v>Cash</v>
      </c>
      <c r="H229" s="7" t="str">
        <f>IFERROR(INDEX(Chart_of_Accounts!$C$2:$C$18,MATCH(F229,Chart_of_Accounts!$A$2:$A$18,0)),"")</f>
        <v>Asset</v>
      </c>
      <c r="I229" s="9"/>
      <c r="J229" s="9">
        <v>2986.56</v>
      </c>
      <c r="K229" s="7" t="s">
        <v>161</v>
      </c>
      <c r="L229" s="7" t="s">
        <v>32</v>
      </c>
      <c r="M229" s="7" t="s">
        <v>114</v>
      </c>
      <c r="N229" s="7" t="s">
        <v>100</v>
      </c>
      <c r="O229" s="7" t="str">
        <f>IFERROR(INDEX(Vendors!$B$2:$B$10,MATCH(N229,Vendors!$A$2:$A$10,0)),"")</f>
        <v>BrightSign Marketing Agency</v>
      </c>
      <c r="P229" s="7" t="s">
        <v>69</v>
      </c>
    </row>
    <row r="230" spans="1:16" x14ac:dyDescent="0.25">
      <c r="A230" s="7">
        <v>115</v>
      </c>
      <c r="B230" s="7" t="s">
        <v>252</v>
      </c>
      <c r="C230" s="8">
        <v>46081</v>
      </c>
      <c r="D230" s="7" t="s">
        <v>78</v>
      </c>
      <c r="E230" s="7" t="str">
        <f>IFERROR(INDEX(Restaurants!$B$2:$B$6,MATCH(D230,Restaurants!$A$2:$A$6,0)),"")</f>
        <v>Trailhead Burger Co. #103 - Corpus Christi, TX</v>
      </c>
      <c r="F230" s="7" t="s">
        <v>70</v>
      </c>
      <c r="G230" s="7" t="str">
        <f>IFERROR(INDEX(Chart_of_Accounts!$B$2:$B$18,MATCH(F230,Chart_of_Accounts!$A$2:$A$18,0)),"")</f>
        <v>Franchise Fees</v>
      </c>
      <c r="H230" s="7" t="str">
        <f>IFERROR(INDEX(Chart_of_Accounts!$C$2:$C$18,MATCH(F230,Chart_of_Accounts!$A$2:$A$18,0)),"")</f>
        <v>Expense</v>
      </c>
      <c r="I230" s="9">
        <v>3982.08</v>
      </c>
      <c r="J230" s="9"/>
      <c r="K230" s="7" t="s">
        <v>163</v>
      </c>
      <c r="L230" s="7" t="s">
        <v>32</v>
      </c>
      <c r="M230" s="7" t="s">
        <v>114</v>
      </c>
      <c r="N230" s="7" t="s">
        <v>102</v>
      </c>
      <c r="O230" s="7" t="str">
        <f>IFERROR(INDEX(Vendors!$B$2:$B$10,MATCH(N230,Vendors!$A$2:$A$10,0)),"")</f>
        <v>Trailhead Burger Co. - Corporate</v>
      </c>
      <c r="P230" s="7" t="s">
        <v>115</v>
      </c>
    </row>
    <row r="231" spans="1:16" x14ac:dyDescent="0.25">
      <c r="A231" s="7">
        <v>115</v>
      </c>
      <c r="B231" s="7" t="s">
        <v>252</v>
      </c>
      <c r="C231" s="8">
        <v>46081</v>
      </c>
      <c r="D231" s="7" t="s">
        <v>78</v>
      </c>
      <c r="E231" s="7" t="str">
        <f>IFERROR(INDEX(Restaurants!$B$2:$B$6,MATCH(D231,Restaurants!$A$2:$A$6,0)),"")</f>
        <v>Trailhead Burger Co. #103 - Corpus Christi, TX</v>
      </c>
      <c r="F231" s="7" t="s">
        <v>31</v>
      </c>
      <c r="G231" s="7" t="str">
        <f>IFERROR(INDEX(Chart_of_Accounts!$B$2:$B$18,MATCH(F231,Chart_of_Accounts!$A$2:$A$18,0)),"")</f>
        <v>Cash</v>
      </c>
      <c r="H231" s="7" t="str">
        <f>IFERROR(INDEX(Chart_of_Accounts!$C$2:$C$18,MATCH(F231,Chart_of_Accounts!$A$2:$A$18,0)),"")</f>
        <v>Asset</v>
      </c>
      <c r="I231" s="9"/>
      <c r="J231" s="9">
        <v>3982.08</v>
      </c>
      <c r="K231" s="7" t="s">
        <v>163</v>
      </c>
      <c r="L231" s="7" t="s">
        <v>32</v>
      </c>
      <c r="M231" s="7" t="s">
        <v>114</v>
      </c>
      <c r="N231" s="7" t="s">
        <v>102</v>
      </c>
      <c r="O231" s="7" t="str">
        <f>IFERROR(INDEX(Vendors!$B$2:$B$10,MATCH(N231,Vendors!$A$2:$A$10,0)),"")</f>
        <v>Trailhead Burger Co. - Corporate</v>
      </c>
      <c r="P231" s="7" t="s">
        <v>115</v>
      </c>
    </row>
    <row r="232" spans="1:16" x14ac:dyDescent="0.25">
      <c r="A232" s="7">
        <v>116</v>
      </c>
      <c r="B232" s="7" t="s">
        <v>253</v>
      </c>
      <c r="C232" s="8">
        <v>46071</v>
      </c>
      <c r="D232" s="7" t="s">
        <v>78</v>
      </c>
      <c r="E232" s="7" t="str">
        <f>IFERROR(INDEX(Restaurants!$B$2:$B$6,MATCH(D232,Restaurants!$A$2:$A$6,0)),"")</f>
        <v>Trailhead Burger Co. #103 - Corpus Christi, TX</v>
      </c>
      <c r="F232" s="7" t="s">
        <v>41</v>
      </c>
      <c r="G232" s="7" t="str">
        <f>IFERROR(INDEX(Chart_of_Accounts!$B$2:$B$18,MATCH(F232,Chart_of_Accounts!$A$2:$A$18,0)),"")</f>
        <v>Accounts Payable</v>
      </c>
      <c r="H232" s="7" t="str">
        <f>IFERROR(INDEX(Chart_of_Accounts!$C$2:$C$18,MATCH(F232,Chart_of_Accounts!$A$2:$A$18,0)),"")</f>
        <v>Liability</v>
      </c>
      <c r="I232" s="9">
        <v>26879.040000000001</v>
      </c>
      <c r="J232" s="9"/>
      <c r="K232" s="7" t="s">
        <v>177</v>
      </c>
      <c r="L232" s="7" t="s">
        <v>32</v>
      </c>
      <c r="M232" s="7" t="s">
        <v>114</v>
      </c>
      <c r="N232" s="7" t="s">
        <v>88</v>
      </c>
      <c r="O232" s="7" t="str">
        <f>IFERROR(INDEX(Vendors!$B$2:$B$10,MATCH(N232,Vendors!$A$2:$A$10,0)),"")</f>
        <v>Fresh Produce Partners</v>
      </c>
      <c r="P232" s="7" t="s">
        <v>115</v>
      </c>
    </row>
    <row r="233" spans="1:16" x14ac:dyDescent="0.25">
      <c r="A233" s="7">
        <v>116</v>
      </c>
      <c r="B233" s="7" t="s">
        <v>253</v>
      </c>
      <c r="C233" s="8">
        <v>46071</v>
      </c>
      <c r="D233" s="7" t="s">
        <v>78</v>
      </c>
      <c r="E233" s="7" t="str">
        <f>IFERROR(INDEX(Restaurants!$B$2:$B$6,MATCH(D233,Restaurants!$A$2:$A$6,0)),"")</f>
        <v>Trailhead Burger Co. #103 - Corpus Christi, TX</v>
      </c>
      <c r="F233" s="7" t="s">
        <v>31</v>
      </c>
      <c r="G233" s="7" t="str">
        <f>IFERROR(INDEX(Chart_of_Accounts!$B$2:$B$18,MATCH(F233,Chart_of_Accounts!$A$2:$A$18,0)),"")</f>
        <v>Cash</v>
      </c>
      <c r="H233" s="7" t="str">
        <f>IFERROR(INDEX(Chart_of_Accounts!$C$2:$C$18,MATCH(F233,Chart_of_Accounts!$A$2:$A$18,0)),"")</f>
        <v>Asset</v>
      </c>
      <c r="I233" s="9"/>
      <c r="J233" s="9">
        <v>26879.040000000001</v>
      </c>
      <c r="K233" s="7" t="s">
        <v>177</v>
      </c>
      <c r="L233" s="7" t="s">
        <v>32</v>
      </c>
      <c r="M233" s="7" t="s">
        <v>114</v>
      </c>
      <c r="N233" s="7" t="s">
        <v>88</v>
      </c>
      <c r="O233" s="7" t="str">
        <f>IFERROR(INDEX(Vendors!$B$2:$B$10,MATCH(N233,Vendors!$A$2:$A$10,0)),"")</f>
        <v>Fresh Produce Partners</v>
      </c>
      <c r="P233" s="7" t="s">
        <v>115</v>
      </c>
    </row>
    <row r="234" spans="1:16" x14ac:dyDescent="0.25">
      <c r="A234" s="7">
        <v>117</v>
      </c>
      <c r="B234" s="7" t="s">
        <v>254</v>
      </c>
      <c r="C234" s="8">
        <v>46086</v>
      </c>
      <c r="D234" s="7" t="s">
        <v>78</v>
      </c>
      <c r="E234" s="7" t="str">
        <f>IFERROR(INDEX(Restaurants!$B$2:$B$6,MATCH(D234,Restaurants!$A$2:$A$6,0)),"")</f>
        <v>Trailhead Burger Co. #103 - Corpus Christi, TX</v>
      </c>
      <c r="F234" s="7" t="s">
        <v>31</v>
      </c>
      <c r="G234" s="7" t="str">
        <f>IFERROR(INDEX(Chart_of_Accounts!$B$2:$B$18,MATCH(F234,Chart_of_Accounts!$A$2:$A$18,0)),"")</f>
        <v>Cash</v>
      </c>
      <c r="H234" s="7" t="str">
        <f>IFERROR(INDEX(Chart_of_Accounts!$C$2:$C$18,MATCH(F234,Chart_of_Accounts!$A$2:$A$18,0)),"")</f>
        <v>Asset</v>
      </c>
      <c r="I234" s="9">
        <v>83200</v>
      </c>
      <c r="J234" s="9"/>
      <c r="K234" s="7" t="s">
        <v>134</v>
      </c>
      <c r="L234" s="7" t="s">
        <v>32</v>
      </c>
      <c r="M234" s="7" t="s">
        <v>135</v>
      </c>
      <c r="N234" s="7"/>
      <c r="O234" s="7"/>
      <c r="P234" s="7" t="s">
        <v>136</v>
      </c>
    </row>
    <row r="235" spans="1:16" x14ac:dyDescent="0.25">
      <c r="A235" s="7">
        <v>117</v>
      </c>
      <c r="B235" s="7" t="s">
        <v>254</v>
      </c>
      <c r="C235" s="8">
        <v>46086</v>
      </c>
      <c r="D235" s="7" t="s">
        <v>78</v>
      </c>
      <c r="E235" s="7" t="str">
        <f>IFERROR(INDEX(Restaurants!$B$2:$B$6,MATCH(D235,Restaurants!$A$2:$A$6,0)),"")</f>
        <v>Trailhead Burger Co. #103 - Corpus Christi, TX</v>
      </c>
      <c r="F235" s="7" t="s">
        <v>50</v>
      </c>
      <c r="G235" s="7" t="str">
        <f>IFERROR(INDEX(Chart_of_Accounts!$B$2:$B$18,MATCH(F235,Chart_of_Accounts!$A$2:$A$18,0)),"")</f>
        <v>Restaurant Sales</v>
      </c>
      <c r="H235" s="7" t="str">
        <f>IFERROR(INDEX(Chart_of_Accounts!$C$2:$C$18,MATCH(F235,Chart_of_Accounts!$A$2:$A$18,0)),"")</f>
        <v>Revenue</v>
      </c>
      <c r="I235" s="9"/>
      <c r="J235" s="9">
        <v>83200</v>
      </c>
      <c r="K235" s="7" t="s">
        <v>134</v>
      </c>
      <c r="L235" s="7" t="s">
        <v>32</v>
      </c>
      <c r="M235" s="7" t="s">
        <v>135</v>
      </c>
      <c r="N235" s="7"/>
      <c r="O235" s="7"/>
      <c r="P235" s="7" t="s">
        <v>136</v>
      </c>
    </row>
    <row r="236" spans="1:16" x14ac:dyDescent="0.25">
      <c r="A236" s="7">
        <v>118</v>
      </c>
      <c r="B236" s="7" t="s">
        <v>255</v>
      </c>
      <c r="C236" s="8">
        <v>46088</v>
      </c>
      <c r="D236" s="7" t="s">
        <v>78</v>
      </c>
      <c r="E236" s="7" t="str">
        <f>IFERROR(INDEX(Restaurants!$B$2:$B$6,MATCH(D236,Restaurants!$A$2:$A$6,0)),"")</f>
        <v>Trailhead Burger Co. #103 - Corpus Christi, TX</v>
      </c>
      <c r="F236" s="7" t="s">
        <v>35</v>
      </c>
      <c r="G236" s="7" t="str">
        <f>IFERROR(INDEX(Chart_of_Accounts!$B$2:$B$18,MATCH(F236,Chart_of_Accounts!$A$2:$A$18,0)),"")</f>
        <v>Accounts Receivable</v>
      </c>
      <c r="H236" s="7" t="str">
        <f>IFERROR(INDEX(Chart_of_Accounts!$C$2:$C$18,MATCH(F236,Chart_of_Accounts!$A$2:$A$18,0)),"")</f>
        <v>Asset</v>
      </c>
      <c r="I236" s="9">
        <v>18304</v>
      </c>
      <c r="J236" s="9"/>
      <c r="K236" s="7" t="s">
        <v>138</v>
      </c>
      <c r="L236" s="7" t="s">
        <v>139</v>
      </c>
      <c r="M236" s="7" t="s">
        <v>140</v>
      </c>
      <c r="N236" s="7" t="s">
        <v>94</v>
      </c>
      <c r="O236" s="7" t="str">
        <f>IFERROR(INDEX(Vendors!$B$2:$B$10,MATCH(N236,Vendors!$A$2:$A$10,0)),"")</f>
        <v>QuickDash Delivery Platform</v>
      </c>
      <c r="P236" s="7" t="s">
        <v>136</v>
      </c>
    </row>
    <row r="237" spans="1:16" x14ac:dyDescent="0.25">
      <c r="A237" s="7">
        <v>118</v>
      </c>
      <c r="B237" s="7" t="s">
        <v>255</v>
      </c>
      <c r="C237" s="8">
        <v>46088</v>
      </c>
      <c r="D237" s="7" t="s">
        <v>78</v>
      </c>
      <c r="E237" s="7" t="str">
        <f>IFERROR(INDEX(Restaurants!$B$2:$B$6,MATCH(D237,Restaurants!$A$2:$A$6,0)),"")</f>
        <v>Trailhead Burger Co. #103 - Corpus Christi, TX</v>
      </c>
      <c r="F237" s="7" t="s">
        <v>53</v>
      </c>
      <c r="G237" s="7" t="str">
        <f>IFERROR(INDEX(Chart_of_Accounts!$B$2:$B$18,MATCH(F237,Chart_of_Accounts!$A$2:$A$18,0)),"")</f>
        <v>Delivery Sales</v>
      </c>
      <c r="H237" s="7" t="str">
        <f>IFERROR(INDEX(Chart_of_Accounts!$C$2:$C$18,MATCH(F237,Chart_of_Accounts!$A$2:$A$18,0)),"")</f>
        <v>Revenue</v>
      </c>
      <c r="I237" s="9"/>
      <c r="J237" s="9">
        <v>18304</v>
      </c>
      <c r="K237" s="7" t="s">
        <v>138</v>
      </c>
      <c r="L237" s="7" t="s">
        <v>139</v>
      </c>
      <c r="M237" s="7" t="s">
        <v>140</v>
      </c>
      <c r="N237" s="7" t="s">
        <v>94</v>
      </c>
      <c r="O237" s="7" t="str">
        <f>IFERROR(INDEX(Vendors!$B$2:$B$10,MATCH(N237,Vendors!$A$2:$A$10,0)),"")</f>
        <v>QuickDash Delivery Platform</v>
      </c>
      <c r="P237" s="7" t="s">
        <v>136</v>
      </c>
    </row>
    <row r="238" spans="1:16" x14ac:dyDescent="0.25">
      <c r="A238" s="7">
        <v>119</v>
      </c>
      <c r="B238" s="7" t="s">
        <v>256</v>
      </c>
      <c r="C238" s="8">
        <v>46091</v>
      </c>
      <c r="D238" s="7" t="s">
        <v>78</v>
      </c>
      <c r="E238" s="7" t="str">
        <f>IFERROR(INDEX(Restaurants!$B$2:$B$6,MATCH(D238,Restaurants!$A$2:$A$6,0)),"")</f>
        <v>Trailhead Burger Co. #103 - Corpus Christi, TX</v>
      </c>
      <c r="F238" s="7" t="s">
        <v>31</v>
      </c>
      <c r="G238" s="7" t="str">
        <f>IFERROR(INDEX(Chart_of_Accounts!$B$2:$B$18,MATCH(F238,Chart_of_Accounts!$A$2:$A$18,0)),"")</f>
        <v>Cash</v>
      </c>
      <c r="H238" s="7" t="str">
        <f>IFERROR(INDEX(Chart_of_Accounts!$C$2:$C$18,MATCH(F238,Chart_of_Accounts!$A$2:$A$18,0)),"")</f>
        <v>Asset</v>
      </c>
      <c r="I238" s="9">
        <v>18304</v>
      </c>
      <c r="J238" s="9"/>
      <c r="K238" s="7" t="s">
        <v>142</v>
      </c>
      <c r="L238" s="7" t="s">
        <v>139</v>
      </c>
      <c r="M238" s="7" t="s">
        <v>140</v>
      </c>
      <c r="N238" s="7" t="s">
        <v>94</v>
      </c>
      <c r="O238" s="7" t="str">
        <f>IFERROR(INDEX(Vendors!$B$2:$B$10,MATCH(N238,Vendors!$A$2:$A$10,0)),"")</f>
        <v>QuickDash Delivery Platform</v>
      </c>
      <c r="P238" s="7" t="s">
        <v>136</v>
      </c>
    </row>
    <row r="239" spans="1:16" x14ac:dyDescent="0.25">
      <c r="A239" s="7">
        <v>119</v>
      </c>
      <c r="B239" s="7" t="s">
        <v>256</v>
      </c>
      <c r="C239" s="8">
        <v>46091</v>
      </c>
      <c r="D239" s="7" t="s">
        <v>78</v>
      </c>
      <c r="E239" s="7" t="str">
        <f>IFERROR(INDEX(Restaurants!$B$2:$B$6,MATCH(D239,Restaurants!$A$2:$A$6,0)),"")</f>
        <v>Trailhead Burger Co. #103 - Corpus Christi, TX</v>
      </c>
      <c r="F239" s="7" t="s">
        <v>35</v>
      </c>
      <c r="G239" s="7" t="str">
        <f>IFERROR(INDEX(Chart_of_Accounts!$B$2:$B$18,MATCH(F239,Chart_of_Accounts!$A$2:$A$18,0)),"")</f>
        <v>Accounts Receivable</v>
      </c>
      <c r="H239" s="7" t="str">
        <f>IFERROR(INDEX(Chart_of_Accounts!$C$2:$C$18,MATCH(F239,Chart_of_Accounts!$A$2:$A$18,0)),"")</f>
        <v>Asset</v>
      </c>
      <c r="I239" s="9"/>
      <c r="J239" s="9">
        <v>18304</v>
      </c>
      <c r="K239" s="7" t="s">
        <v>142</v>
      </c>
      <c r="L239" s="7" t="s">
        <v>139</v>
      </c>
      <c r="M239" s="7" t="s">
        <v>140</v>
      </c>
      <c r="N239" s="7" t="s">
        <v>94</v>
      </c>
      <c r="O239" s="7" t="str">
        <f>IFERROR(INDEX(Vendors!$B$2:$B$10,MATCH(N239,Vendors!$A$2:$A$10,0)),"")</f>
        <v>QuickDash Delivery Platform</v>
      </c>
      <c r="P239" s="7" t="s">
        <v>136</v>
      </c>
    </row>
    <row r="240" spans="1:16" x14ac:dyDescent="0.25">
      <c r="A240" s="7">
        <v>120</v>
      </c>
      <c r="B240" s="7" t="s">
        <v>257</v>
      </c>
      <c r="C240" s="8">
        <v>46091</v>
      </c>
      <c r="D240" s="7" t="s">
        <v>78</v>
      </c>
      <c r="E240" s="7" t="str">
        <f>IFERROR(INDEX(Restaurants!$B$2:$B$6,MATCH(D240,Restaurants!$A$2:$A$6,0)),"")</f>
        <v>Trailhead Burger Co. #103 - Corpus Christi, TX</v>
      </c>
      <c r="F240" s="7" t="s">
        <v>64</v>
      </c>
      <c r="G240" s="7" t="str">
        <f>IFERROR(INDEX(Chart_of_Accounts!$B$2:$B$18,MATCH(F240,Chart_of_Accounts!$A$2:$A$18,0)),"")</f>
        <v>Delivery Fees</v>
      </c>
      <c r="H240" s="7" t="str">
        <f>IFERROR(INDEX(Chart_of_Accounts!$C$2:$C$18,MATCH(F240,Chart_of_Accounts!$A$2:$A$18,0)),"")</f>
        <v>Expense</v>
      </c>
      <c r="I240" s="9">
        <v>2745.6</v>
      </c>
      <c r="J240" s="9"/>
      <c r="K240" s="7" t="s">
        <v>144</v>
      </c>
      <c r="L240" s="7" t="s">
        <v>32</v>
      </c>
      <c r="M240" s="7" t="s">
        <v>140</v>
      </c>
      <c r="N240" s="7" t="s">
        <v>94</v>
      </c>
      <c r="O240" s="7" t="str">
        <f>IFERROR(INDEX(Vendors!$B$2:$B$10,MATCH(N240,Vendors!$A$2:$A$10,0)),"")</f>
        <v>QuickDash Delivery Platform</v>
      </c>
      <c r="P240" s="7" t="s">
        <v>136</v>
      </c>
    </row>
    <row r="241" spans="1:16" x14ac:dyDescent="0.25">
      <c r="A241" s="7">
        <v>120</v>
      </c>
      <c r="B241" s="7" t="s">
        <v>257</v>
      </c>
      <c r="C241" s="8">
        <v>46091</v>
      </c>
      <c r="D241" s="7" t="s">
        <v>78</v>
      </c>
      <c r="E241" s="7" t="str">
        <f>IFERROR(INDEX(Restaurants!$B$2:$B$6,MATCH(D241,Restaurants!$A$2:$A$6,0)),"")</f>
        <v>Trailhead Burger Co. #103 - Corpus Christi, TX</v>
      </c>
      <c r="F241" s="7" t="s">
        <v>31</v>
      </c>
      <c r="G241" s="7" t="str">
        <f>IFERROR(INDEX(Chart_of_Accounts!$B$2:$B$18,MATCH(F241,Chart_of_Accounts!$A$2:$A$18,0)),"")</f>
        <v>Cash</v>
      </c>
      <c r="H241" s="7" t="str">
        <f>IFERROR(INDEX(Chart_of_Accounts!$C$2:$C$18,MATCH(F241,Chart_of_Accounts!$A$2:$A$18,0)),"")</f>
        <v>Asset</v>
      </c>
      <c r="I241" s="9"/>
      <c r="J241" s="9">
        <v>2745.6</v>
      </c>
      <c r="K241" s="7" t="s">
        <v>144</v>
      </c>
      <c r="L241" s="7" t="s">
        <v>32</v>
      </c>
      <c r="M241" s="7" t="s">
        <v>140</v>
      </c>
      <c r="N241" s="7" t="s">
        <v>94</v>
      </c>
      <c r="O241" s="7" t="str">
        <f>IFERROR(INDEX(Vendors!$B$2:$B$10,MATCH(N241,Vendors!$A$2:$A$10,0)),"")</f>
        <v>QuickDash Delivery Platform</v>
      </c>
      <c r="P241" s="7" t="s">
        <v>136</v>
      </c>
    </row>
    <row r="242" spans="1:16" x14ac:dyDescent="0.25">
      <c r="A242" s="7">
        <v>121</v>
      </c>
      <c r="B242" s="7" t="s">
        <v>258</v>
      </c>
      <c r="C242" s="8">
        <v>46089</v>
      </c>
      <c r="D242" s="7" t="s">
        <v>78</v>
      </c>
      <c r="E242" s="7" t="str">
        <f>IFERROR(INDEX(Restaurants!$B$2:$B$6,MATCH(D242,Restaurants!$A$2:$A$6,0)),"")</f>
        <v>Trailhead Burger Co. #103 - Corpus Christi, TX</v>
      </c>
      <c r="F242" s="7" t="s">
        <v>37</v>
      </c>
      <c r="G242" s="7" t="str">
        <f>IFERROR(INDEX(Chart_of_Accounts!$B$2:$B$18,MATCH(F242,Chart_of_Accounts!$A$2:$A$18,0)),"")</f>
        <v>Inventory</v>
      </c>
      <c r="H242" s="7" t="str">
        <f>IFERROR(INDEX(Chart_of_Accounts!$C$2:$C$18,MATCH(F242,Chart_of_Accounts!$A$2:$A$18,0)),"")</f>
        <v>Asset</v>
      </c>
      <c r="I242" s="9">
        <v>31973.759999999998</v>
      </c>
      <c r="J242" s="9"/>
      <c r="K242" s="7" t="s">
        <v>146</v>
      </c>
      <c r="L242" s="7" t="s">
        <v>113</v>
      </c>
      <c r="M242" s="7" t="s">
        <v>114</v>
      </c>
      <c r="N242" s="7" t="s">
        <v>86</v>
      </c>
      <c r="O242" s="7" t="str">
        <f>IFERROR(INDEX(Vendors!$B$2:$B$10,MATCH(N242,Vendors!$A$2:$A$10,0)),"")</f>
        <v>Gulf Coast Meat Supply</v>
      </c>
      <c r="P242" s="7" t="s">
        <v>147</v>
      </c>
    </row>
    <row r="243" spans="1:16" x14ac:dyDescent="0.25">
      <c r="A243" s="7">
        <v>121</v>
      </c>
      <c r="B243" s="7" t="s">
        <v>258</v>
      </c>
      <c r="C243" s="8">
        <v>46089</v>
      </c>
      <c r="D243" s="7" t="s">
        <v>78</v>
      </c>
      <c r="E243" s="7" t="str">
        <f>IFERROR(INDEX(Restaurants!$B$2:$B$6,MATCH(D243,Restaurants!$A$2:$A$6,0)),"")</f>
        <v>Trailhead Burger Co. #103 - Corpus Christi, TX</v>
      </c>
      <c r="F243" s="7" t="s">
        <v>41</v>
      </c>
      <c r="G243" s="7" t="str">
        <f>IFERROR(INDEX(Chart_of_Accounts!$B$2:$B$18,MATCH(F243,Chart_of_Accounts!$A$2:$A$18,0)),"")</f>
        <v>Accounts Payable</v>
      </c>
      <c r="H243" s="7" t="str">
        <f>IFERROR(INDEX(Chart_of_Accounts!$C$2:$C$18,MATCH(F243,Chart_of_Accounts!$A$2:$A$18,0)),"")</f>
        <v>Liability</v>
      </c>
      <c r="I243" s="9"/>
      <c r="J243" s="9">
        <v>31973.759999999998</v>
      </c>
      <c r="K243" s="7" t="s">
        <v>146</v>
      </c>
      <c r="L243" s="7" t="s">
        <v>113</v>
      </c>
      <c r="M243" s="7" t="s">
        <v>114</v>
      </c>
      <c r="N243" s="7" t="s">
        <v>86</v>
      </c>
      <c r="O243" s="7" t="str">
        <f>IFERROR(INDEX(Vendors!$B$2:$B$10,MATCH(N243,Vendors!$A$2:$A$10,0)),"")</f>
        <v>Gulf Coast Meat Supply</v>
      </c>
      <c r="P243" s="7" t="s">
        <v>147</v>
      </c>
    </row>
    <row r="244" spans="1:16" x14ac:dyDescent="0.25">
      <c r="A244" s="7">
        <v>122</v>
      </c>
      <c r="B244" s="7" t="s">
        <v>259</v>
      </c>
      <c r="C244" s="8">
        <v>46109</v>
      </c>
      <c r="D244" s="7" t="s">
        <v>78</v>
      </c>
      <c r="E244" s="7" t="str">
        <f>IFERROR(INDEX(Restaurants!$B$2:$B$6,MATCH(D244,Restaurants!$A$2:$A$6,0)),"")</f>
        <v>Trailhead Burger Co. #103 - Corpus Christi, TX</v>
      </c>
      <c r="F244" s="7" t="s">
        <v>55</v>
      </c>
      <c r="G244" s="7" t="str">
        <f>IFERROR(INDEX(Chart_of_Accounts!$B$2:$B$18,MATCH(F244,Chart_of_Accounts!$A$2:$A$18,0)),"")</f>
        <v>Food Cost</v>
      </c>
      <c r="H244" s="7" t="str">
        <f>IFERROR(INDEX(Chart_of_Accounts!$C$2:$C$18,MATCH(F244,Chart_of_Accounts!$A$2:$A$18,0)),"")</f>
        <v>Expense</v>
      </c>
      <c r="I244" s="9">
        <v>30451.200000000001</v>
      </c>
      <c r="J244" s="9"/>
      <c r="K244" s="7" t="s">
        <v>149</v>
      </c>
      <c r="L244" s="7" t="s">
        <v>113</v>
      </c>
      <c r="M244" s="7" t="s">
        <v>114</v>
      </c>
      <c r="N244" s="7" t="s">
        <v>86</v>
      </c>
      <c r="O244" s="7" t="str">
        <f>IFERROR(INDEX(Vendors!$B$2:$B$10,MATCH(N244,Vendors!$A$2:$A$10,0)),"")</f>
        <v>Gulf Coast Meat Supply</v>
      </c>
      <c r="P244" s="7" t="s">
        <v>136</v>
      </c>
    </row>
    <row r="245" spans="1:16" x14ac:dyDescent="0.25">
      <c r="A245" s="7">
        <v>122</v>
      </c>
      <c r="B245" s="7" t="s">
        <v>259</v>
      </c>
      <c r="C245" s="8">
        <v>46109</v>
      </c>
      <c r="D245" s="7" t="s">
        <v>78</v>
      </c>
      <c r="E245" s="7" t="str">
        <f>IFERROR(INDEX(Restaurants!$B$2:$B$6,MATCH(D245,Restaurants!$A$2:$A$6,0)),"")</f>
        <v>Trailhead Burger Co. #103 - Corpus Christi, TX</v>
      </c>
      <c r="F245" s="7" t="s">
        <v>37</v>
      </c>
      <c r="G245" s="7" t="str">
        <f>IFERROR(INDEX(Chart_of_Accounts!$B$2:$B$18,MATCH(F245,Chart_of_Accounts!$A$2:$A$18,0)),"")</f>
        <v>Inventory</v>
      </c>
      <c r="H245" s="7" t="str">
        <f>IFERROR(INDEX(Chart_of_Accounts!$C$2:$C$18,MATCH(F245,Chart_of_Accounts!$A$2:$A$18,0)),"")</f>
        <v>Asset</v>
      </c>
      <c r="I245" s="9"/>
      <c r="J245" s="9">
        <v>30451.200000000001</v>
      </c>
      <c r="K245" s="7" t="s">
        <v>149</v>
      </c>
      <c r="L245" s="7" t="s">
        <v>113</v>
      </c>
      <c r="M245" s="7" t="s">
        <v>114</v>
      </c>
      <c r="N245" s="7" t="s">
        <v>86</v>
      </c>
      <c r="O245" s="7" t="str">
        <f>IFERROR(INDEX(Vendors!$B$2:$B$10,MATCH(N245,Vendors!$A$2:$A$10,0)),"")</f>
        <v>Gulf Coast Meat Supply</v>
      </c>
      <c r="P245" s="7" t="s">
        <v>136</v>
      </c>
    </row>
    <row r="246" spans="1:16" x14ac:dyDescent="0.25">
      <c r="A246" s="7">
        <v>123</v>
      </c>
      <c r="B246" s="7" t="s">
        <v>260</v>
      </c>
      <c r="C246" s="8">
        <v>46096</v>
      </c>
      <c r="D246" s="7" t="s">
        <v>78</v>
      </c>
      <c r="E246" s="7" t="str">
        <f>IFERROR(INDEX(Restaurants!$B$2:$B$6,MATCH(D246,Restaurants!$A$2:$A$6,0)),"")</f>
        <v>Trailhead Burger Co. #103 - Corpus Christi, TX</v>
      </c>
      <c r="F246" s="7" t="s">
        <v>58</v>
      </c>
      <c r="G246" s="7" t="str">
        <f>IFERROR(INDEX(Chart_of_Accounts!$B$2:$B$18,MATCH(F246,Chart_of_Accounts!$A$2:$A$18,0)),"")</f>
        <v>Labor</v>
      </c>
      <c r="H246" s="7" t="str">
        <f>IFERROR(INDEX(Chart_of_Accounts!$C$2:$C$18,MATCH(F246,Chart_of_Accounts!$A$2:$A$18,0)),"")</f>
        <v>Expense</v>
      </c>
      <c r="I246" s="9">
        <v>26391.040000000001</v>
      </c>
      <c r="J246" s="9"/>
      <c r="K246" s="7" t="s">
        <v>151</v>
      </c>
      <c r="L246" s="7" t="s">
        <v>32</v>
      </c>
      <c r="M246" s="7" t="s">
        <v>114</v>
      </c>
      <c r="N246" s="7"/>
      <c r="O246" s="7"/>
      <c r="P246" s="7" t="s">
        <v>152</v>
      </c>
    </row>
    <row r="247" spans="1:16" x14ac:dyDescent="0.25">
      <c r="A247" s="7">
        <v>123</v>
      </c>
      <c r="B247" s="7" t="s">
        <v>260</v>
      </c>
      <c r="C247" s="8">
        <v>46096</v>
      </c>
      <c r="D247" s="7" t="s">
        <v>78</v>
      </c>
      <c r="E247" s="7" t="str">
        <f>IFERROR(INDEX(Restaurants!$B$2:$B$6,MATCH(D247,Restaurants!$A$2:$A$6,0)),"")</f>
        <v>Trailhead Burger Co. #103 - Corpus Christi, TX</v>
      </c>
      <c r="F247" s="7" t="s">
        <v>31</v>
      </c>
      <c r="G247" s="7" t="str">
        <f>IFERROR(INDEX(Chart_of_Accounts!$B$2:$B$18,MATCH(F247,Chart_of_Accounts!$A$2:$A$18,0)),"")</f>
        <v>Cash</v>
      </c>
      <c r="H247" s="7" t="str">
        <f>IFERROR(INDEX(Chart_of_Accounts!$C$2:$C$18,MATCH(F247,Chart_of_Accounts!$A$2:$A$18,0)),"")</f>
        <v>Asset</v>
      </c>
      <c r="I247" s="9"/>
      <c r="J247" s="9">
        <v>26391.040000000001</v>
      </c>
      <c r="K247" s="7" t="s">
        <v>151</v>
      </c>
      <c r="L247" s="7" t="s">
        <v>32</v>
      </c>
      <c r="M247" s="7" t="s">
        <v>114</v>
      </c>
      <c r="N247" s="7"/>
      <c r="O247" s="7"/>
      <c r="P247" s="7" t="s">
        <v>152</v>
      </c>
    </row>
    <row r="248" spans="1:16" x14ac:dyDescent="0.25">
      <c r="A248" s="7">
        <v>124</v>
      </c>
      <c r="B248" s="7" t="s">
        <v>261</v>
      </c>
      <c r="C248" s="8">
        <v>46082</v>
      </c>
      <c r="D248" s="7" t="s">
        <v>78</v>
      </c>
      <c r="E248" s="7" t="str">
        <f>IFERROR(INDEX(Restaurants!$B$2:$B$6,MATCH(D248,Restaurants!$A$2:$A$6,0)),"")</f>
        <v>Trailhead Burger Co. #103 - Corpus Christi, TX</v>
      </c>
      <c r="F248" s="7" t="s">
        <v>60</v>
      </c>
      <c r="G248" s="7" t="str">
        <f>IFERROR(INDEX(Chart_of_Accounts!$B$2:$B$18,MATCH(F248,Chart_of_Accounts!$A$2:$A$18,0)),"")</f>
        <v>Rent</v>
      </c>
      <c r="H248" s="7" t="str">
        <f>IFERROR(INDEX(Chart_of_Accounts!$C$2:$C$18,MATCH(F248,Chart_of_Accounts!$A$2:$A$18,0)),"")</f>
        <v>Expense</v>
      </c>
      <c r="I248" s="9">
        <v>7500</v>
      </c>
      <c r="J248" s="9"/>
      <c r="K248" s="7" t="s">
        <v>154</v>
      </c>
      <c r="L248" s="7" t="s">
        <v>32</v>
      </c>
      <c r="M248" s="7" t="s">
        <v>114</v>
      </c>
      <c r="N248" s="7" t="s">
        <v>98</v>
      </c>
      <c r="O248" s="7" t="str">
        <f>IFERROR(INDEX(Vendors!$B$2:$B$10,MATCH(N248,Vendors!$A$2:$A$10,0)),"")</f>
        <v>Prime Property Management</v>
      </c>
      <c r="P248" s="7" t="s">
        <v>115</v>
      </c>
    </row>
    <row r="249" spans="1:16" x14ac:dyDescent="0.25">
      <c r="A249" s="7">
        <v>124</v>
      </c>
      <c r="B249" s="7" t="s">
        <v>261</v>
      </c>
      <c r="C249" s="8">
        <v>46082</v>
      </c>
      <c r="D249" s="7" t="s">
        <v>78</v>
      </c>
      <c r="E249" s="7" t="str">
        <f>IFERROR(INDEX(Restaurants!$B$2:$B$6,MATCH(D249,Restaurants!$A$2:$A$6,0)),"")</f>
        <v>Trailhead Burger Co. #103 - Corpus Christi, TX</v>
      </c>
      <c r="F249" s="7" t="s">
        <v>31</v>
      </c>
      <c r="G249" s="7" t="str">
        <f>IFERROR(INDEX(Chart_of_Accounts!$B$2:$B$18,MATCH(F249,Chart_of_Accounts!$A$2:$A$18,0)),"")</f>
        <v>Cash</v>
      </c>
      <c r="H249" s="7" t="str">
        <f>IFERROR(INDEX(Chart_of_Accounts!$C$2:$C$18,MATCH(F249,Chart_of_Accounts!$A$2:$A$18,0)),"")</f>
        <v>Asset</v>
      </c>
      <c r="I249" s="9"/>
      <c r="J249" s="9">
        <v>7500</v>
      </c>
      <c r="K249" s="7" t="s">
        <v>154</v>
      </c>
      <c r="L249" s="7" t="s">
        <v>32</v>
      </c>
      <c r="M249" s="7" t="s">
        <v>114</v>
      </c>
      <c r="N249" s="7" t="s">
        <v>98</v>
      </c>
      <c r="O249" s="7" t="str">
        <f>IFERROR(INDEX(Vendors!$B$2:$B$10,MATCH(N249,Vendors!$A$2:$A$10,0)),"")</f>
        <v>Prime Property Management</v>
      </c>
      <c r="P249" s="7" t="s">
        <v>115</v>
      </c>
    </row>
    <row r="250" spans="1:16" x14ac:dyDescent="0.25">
      <c r="A250" s="7">
        <v>125</v>
      </c>
      <c r="B250" s="7" t="s">
        <v>262</v>
      </c>
      <c r="C250" s="8">
        <v>46101</v>
      </c>
      <c r="D250" s="7" t="s">
        <v>78</v>
      </c>
      <c r="E250" s="7" t="str">
        <f>IFERROR(INDEX(Restaurants!$B$2:$B$6,MATCH(D250,Restaurants!$A$2:$A$6,0)),"")</f>
        <v>Trailhead Burger Co. #103 - Corpus Christi, TX</v>
      </c>
      <c r="F250" s="7" t="s">
        <v>62</v>
      </c>
      <c r="G250" s="7" t="str">
        <f>IFERROR(INDEX(Chart_of_Accounts!$B$2:$B$18,MATCH(F250,Chart_of_Accounts!$A$2:$A$18,0)),"")</f>
        <v>Utilities</v>
      </c>
      <c r="H250" s="7" t="str">
        <f>IFERROR(INDEX(Chart_of_Accounts!$C$2:$C$18,MATCH(F250,Chart_of_Accounts!$A$2:$A$18,0)),"")</f>
        <v>Expense</v>
      </c>
      <c r="I250" s="9">
        <v>2226</v>
      </c>
      <c r="J250" s="9"/>
      <c r="K250" s="7" t="s">
        <v>156</v>
      </c>
      <c r="L250" s="7" t="s">
        <v>32</v>
      </c>
      <c r="M250" s="7" t="s">
        <v>114</v>
      </c>
      <c r="N250" s="7" t="s">
        <v>96</v>
      </c>
      <c r="O250" s="7" t="str">
        <f>IFERROR(INDEX(Vendors!$B$2:$B$10,MATCH(N250,Vendors!$A$2:$A$10,0)),"")</f>
        <v>CityWide Utilities</v>
      </c>
      <c r="P250" s="7" t="s">
        <v>157</v>
      </c>
    </row>
    <row r="251" spans="1:16" x14ac:dyDescent="0.25">
      <c r="A251" s="7">
        <v>125</v>
      </c>
      <c r="B251" s="7" t="s">
        <v>262</v>
      </c>
      <c r="C251" s="8">
        <v>46101</v>
      </c>
      <c r="D251" s="7" t="s">
        <v>78</v>
      </c>
      <c r="E251" s="7" t="str">
        <f>IFERROR(INDEX(Restaurants!$B$2:$B$6,MATCH(D251,Restaurants!$A$2:$A$6,0)),"")</f>
        <v>Trailhead Burger Co. #103 - Corpus Christi, TX</v>
      </c>
      <c r="F251" s="7" t="s">
        <v>31</v>
      </c>
      <c r="G251" s="7" t="str">
        <f>IFERROR(INDEX(Chart_of_Accounts!$B$2:$B$18,MATCH(F251,Chart_of_Accounts!$A$2:$A$18,0)),"")</f>
        <v>Cash</v>
      </c>
      <c r="H251" s="7" t="str">
        <f>IFERROR(INDEX(Chart_of_Accounts!$C$2:$C$18,MATCH(F251,Chart_of_Accounts!$A$2:$A$18,0)),"")</f>
        <v>Asset</v>
      </c>
      <c r="I251" s="9"/>
      <c r="J251" s="9">
        <v>2226</v>
      </c>
      <c r="K251" s="7" t="s">
        <v>156</v>
      </c>
      <c r="L251" s="7" t="s">
        <v>32</v>
      </c>
      <c r="M251" s="7" t="s">
        <v>114</v>
      </c>
      <c r="N251" s="7" t="s">
        <v>96</v>
      </c>
      <c r="O251" s="7" t="str">
        <f>IFERROR(INDEX(Vendors!$B$2:$B$10,MATCH(N251,Vendors!$A$2:$A$10,0)),"")</f>
        <v>CityWide Utilities</v>
      </c>
      <c r="P251" s="7" t="s">
        <v>157</v>
      </c>
    </row>
    <row r="252" spans="1:16" x14ac:dyDescent="0.25">
      <c r="A252" s="7">
        <v>126</v>
      </c>
      <c r="B252" s="7" t="s">
        <v>263</v>
      </c>
      <c r="C252" s="8">
        <v>46109</v>
      </c>
      <c r="D252" s="7" t="s">
        <v>78</v>
      </c>
      <c r="E252" s="7" t="str">
        <f>IFERROR(INDEX(Restaurants!$B$2:$B$6,MATCH(D252,Restaurants!$A$2:$A$6,0)),"")</f>
        <v>Trailhead Burger Co. #103 - Corpus Christi, TX</v>
      </c>
      <c r="F252" s="7" t="s">
        <v>66</v>
      </c>
      <c r="G252" s="7" t="str">
        <f>IFERROR(INDEX(Chart_of_Accounts!$B$2:$B$18,MATCH(F252,Chart_of_Accounts!$A$2:$A$18,0)),"")</f>
        <v>CC Processing Fees</v>
      </c>
      <c r="H252" s="7" t="str">
        <f>IFERROR(INDEX(Chart_of_Accounts!$C$2:$C$18,MATCH(F252,Chart_of_Accounts!$A$2:$A$18,0)),"")</f>
        <v>Expense</v>
      </c>
      <c r="I252" s="9">
        <v>2537.6</v>
      </c>
      <c r="J252" s="9"/>
      <c r="K252" s="7" t="s">
        <v>159</v>
      </c>
      <c r="L252" s="7" t="s">
        <v>32</v>
      </c>
      <c r="M252" s="7" t="s">
        <v>114</v>
      </c>
      <c r="N252" s="7"/>
      <c r="O252" s="7"/>
      <c r="P252" s="7" t="s">
        <v>115</v>
      </c>
    </row>
    <row r="253" spans="1:16" x14ac:dyDescent="0.25">
      <c r="A253" s="7">
        <v>126</v>
      </c>
      <c r="B253" s="7" t="s">
        <v>263</v>
      </c>
      <c r="C253" s="8">
        <v>46109</v>
      </c>
      <c r="D253" s="7" t="s">
        <v>78</v>
      </c>
      <c r="E253" s="7" t="str">
        <f>IFERROR(INDEX(Restaurants!$B$2:$B$6,MATCH(D253,Restaurants!$A$2:$A$6,0)),"")</f>
        <v>Trailhead Burger Co. #103 - Corpus Christi, TX</v>
      </c>
      <c r="F253" s="7" t="s">
        <v>31</v>
      </c>
      <c r="G253" s="7" t="str">
        <f>IFERROR(INDEX(Chart_of_Accounts!$B$2:$B$18,MATCH(F253,Chart_of_Accounts!$A$2:$A$18,0)),"")</f>
        <v>Cash</v>
      </c>
      <c r="H253" s="7" t="str">
        <f>IFERROR(INDEX(Chart_of_Accounts!$C$2:$C$18,MATCH(F253,Chart_of_Accounts!$A$2:$A$18,0)),"")</f>
        <v>Asset</v>
      </c>
      <c r="I253" s="9"/>
      <c r="J253" s="9">
        <v>2537.6</v>
      </c>
      <c r="K253" s="7" t="s">
        <v>159</v>
      </c>
      <c r="L253" s="7" t="s">
        <v>32</v>
      </c>
      <c r="M253" s="7" t="s">
        <v>114</v>
      </c>
      <c r="N253" s="7"/>
      <c r="O253" s="7"/>
      <c r="P253" s="7" t="s">
        <v>115</v>
      </c>
    </row>
    <row r="254" spans="1:16" x14ac:dyDescent="0.25">
      <c r="A254" s="7">
        <v>127</v>
      </c>
      <c r="B254" s="7" t="s">
        <v>264</v>
      </c>
      <c r="C254" s="8">
        <v>46093</v>
      </c>
      <c r="D254" s="7" t="s">
        <v>78</v>
      </c>
      <c r="E254" s="7" t="str">
        <f>IFERROR(INDEX(Restaurants!$B$2:$B$6,MATCH(D254,Restaurants!$A$2:$A$6,0)),"")</f>
        <v>Trailhead Burger Co. #103 - Corpus Christi, TX</v>
      </c>
      <c r="F254" s="7" t="s">
        <v>68</v>
      </c>
      <c r="G254" s="7" t="str">
        <f>IFERROR(INDEX(Chart_of_Accounts!$B$2:$B$18,MATCH(F254,Chart_of_Accounts!$A$2:$A$18,0)),"")</f>
        <v>Marketing</v>
      </c>
      <c r="H254" s="7" t="str">
        <f>IFERROR(INDEX(Chart_of_Accounts!$C$2:$C$18,MATCH(F254,Chart_of_Accounts!$A$2:$A$18,0)),"")</f>
        <v>Expense</v>
      </c>
      <c r="I254" s="9">
        <v>3045.12</v>
      </c>
      <c r="J254" s="9"/>
      <c r="K254" s="7" t="s">
        <v>161</v>
      </c>
      <c r="L254" s="7" t="s">
        <v>32</v>
      </c>
      <c r="M254" s="7" t="s">
        <v>114</v>
      </c>
      <c r="N254" s="7" t="s">
        <v>100</v>
      </c>
      <c r="O254" s="7" t="str">
        <f>IFERROR(INDEX(Vendors!$B$2:$B$10,MATCH(N254,Vendors!$A$2:$A$10,0)),"")</f>
        <v>BrightSign Marketing Agency</v>
      </c>
      <c r="P254" s="7" t="s">
        <v>69</v>
      </c>
    </row>
    <row r="255" spans="1:16" x14ac:dyDescent="0.25">
      <c r="A255" s="7">
        <v>127</v>
      </c>
      <c r="B255" s="7" t="s">
        <v>264</v>
      </c>
      <c r="C255" s="8">
        <v>46093</v>
      </c>
      <c r="D255" s="7" t="s">
        <v>78</v>
      </c>
      <c r="E255" s="7" t="str">
        <f>IFERROR(INDEX(Restaurants!$B$2:$B$6,MATCH(D255,Restaurants!$A$2:$A$6,0)),"")</f>
        <v>Trailhead Burger Co. #103 - Corpus Christi, TX</v>
      </c>
      <c r="F255" s="7" t="s">
        <v>31</v>
      </c>
      <c r="G255" s="7" t="str">
        <f>IFERROR(INDEX(Chart_of_Accounts!$B$2:$B$18,MATCH(F255,Chart_of_Accounts!$A$2:$A$18,0)),"")</f>
        <v>Cash</v>
      </c>
      <c r="H255" s="7" t="str">
        <f>IFERROR(INDEX(Chart_of_Accounts!$C$2:$C$18,MATCH(F255,Chart_of_Accounts!$A$2:$A$18,0)),"")</f>
        <v>Asset</v>
      </c>
      <c r="I255" s="9"/>
      <c r="J255" s="9">
        <v>3045.12</v>
      </c>
      <c r="K255" s="7" t="s">
        <v>161</v>
      </c>
      <c r="L255" s="7" t="s">
        <v>32</v>
      </c>
      <c r="M255" s="7" t="s">
        <v>114</v>
      </c>
      <c r="N255" s="7" t="s">
        <v>100</v>
      </c>
      <c r="O255" s="7" t="str">
        <f>IFERROR(INDEX(Vendors!$B$2:$B$10,MATCH(N255,Vendors!$A$2:$A$10,0)),"")</f>
        <v>BrightSign Marketing Agency</v>
      </c>
      <c r="P255" s="7" t="s">
        <v>69</v>
      </c>
    </row>
    <row r="256" spans="1:16" x14ac:dyDescent="0.25">
      <c r="A256" s="7">
        <v>128</v>
      </c>
      <c r="B256" s="7" t="s">
        <v>265</v>
      </c>
      <c r="C256" s="8">
        <v>46111</v>
      </c>
      <c r="D256" s="7" t="s">
        <v>78</v>
      </c>
      <c r="E256" s="7" t="str">
        <f>IFERROR(INDEX(Restaurants!$B$2:$B$6,MATCH(D256,Restaurants!$A$2:$A$6,0)),"")</f>
        <v>Trailhead Burger Co. #103 - Corpus Christi, TX</v>
      </c>
      <c r="F256" s="7" t="s">
        <v>70</v>
      </c>
      <c r="G256" s="7" t="str">
        <f>IFERROR(INDEX(Chart_of_Accounts!$B$2:$B$18,MATCH(F256,Chart_of_Accounts!$A$2:$A$18,0)),"")</f>
        <v>Franchise Fees</v>
      </c>
      <c r="H256" s="7" t="str">
        <f>IFERROR(INDEX(Chart_of_Accounts!$C$2:$C$18,MATCH(F256,Chart_of_Accounts!$A$2:$A$18,0)),"")</f>
        <v>Expense</v>
      </c>
      <c r="I256" s="9">
        <v>4060.16</v>
      </c>
      <c r="J256" s="9"/>
      <c r="K256" s="7" t="s">
        <v>163</v>
      </c>
      <c r="L256" s="7" t="s">
        <v>32</v>
      </c>
      <c r="M256" s="7" t="s">
        <v>114</v>
      </c>
      <c r="N256" s="7" t="s">
        <v>102</v>
      </c>
      <c r="O256" s="7" t="str">
        <f>IFERROR(INDEX(Vendors!$B$2:$B$10,MATCH(N256,Vendors!$A$2:$A$10,0)),"")</f>
        <v>Trailhead Burger Co. - Corporate</v>
      </c>
      <c r="P256" s="7" t="s">
        <v>115</v>
      </c>
    </row>
    <row r="257" spans="1:16" x14ac:dyDescent="0.25">
      <c r="A257" s="7">
        <v>128</v>
      </c>
      <c r="B257" s="7" t="s">
        <v>265</v>
      </c>
      <c r="C257" s="8">
        <v>46111</v>
      </c>
      <c r="D257" s="7" t="s">
        <v>78</v>
      </c>
      <c r="E257" s="7" t="str">
        <f>IFERROR(INDEX(Restaurants!$B$2:$B$6,MATCH(D257,Restaurants!$A$2:$A$6,0)),"")</f>
        <v>Trailhead Burger Co. #103 - Corpus Christi, TX</v>
      </c>
      <c r="F257" s="7" t="s">
        <v>31</v>
      </c>
      <c r="G257" s="7" t="str">
        <f>IFERROR(INDEX(Chart_of_Accounts!$B$2:$B$18,MATCH(F257,Chart_of_Accounts!$A$2:$A$18,0)),"")</f>
        <v>Cash</v>
      </c>
      <c r="H257" s="7" t="str">
        <f>IFERROR(INDEX(Chart_of_Accounts!$C$2:$C$18,MATCH(F257,Chart_of_Accounts!$A$2:$A$18,0)),"")</f>
        <v>Asset</v>
      </c>
      <c r="I257" s="9"/>
      <c r="J257" s="9">
        <v>4060.16</v>
      </c>
      <c r="K257" s="7" t="s">
        <v>163</v>
      </c>
      <c r="L257" s="7" t="s">
        <v>32</v>
      </c>
      <c r="M257" s="7" t="s">
        <v>114</v>
      </c>
      <c r="N257" s="7" t="s">
        <v>102</v>
      </c>
      <c r="O257" s="7" t="str">
        <f>IFERROR(INDEX(Vendors!$B$2:$B$10,MATCH(N257,Vendors!$A$2:$A$10,0)),"")</f>
        <v>Trailhead Burger Co. - Corporate</v>
      </c>
      <c r="P257" s="7" t="s">
        <v>115</v>
      </c>
    </row>
    <row r="258" spans="1:16" x14ac:dyDescent="0.25">
      <c r="A258" s="7">
        <v>129</v>
      </c>
      <c r="B258" s="7" t="s">
        <v>266</v>
      </c>
      <c r="C258" s="8">
        <v>46099</v>
      </c>
      <c r="D258" s="7" t="s">
        <v>78</v>
      </c>
      <c r="E258" s="7" t="str">
        <f>IFERROR(INDEX(Restaurants!$B$2:$B$6,MATCH(D258,Restaurants!$A$2:$A$6,0)),"")</f>
        <v>Trailhead Burger Co. #103 - Corpus Christi, TX</v>
      </c>
      <c r="F258" s="7" t="s">
        <v>41</v>
      </c>
      <c r="G258" s="7" t="str">
        <f>IFERROR(INDEX(Chart_of_Accounts!$B$2:$B$18,MATCH(F258,Chart_of_Accounts!$A$2:$A$18,0)),"")</f>
        <v>Accounts Payable</v>
      </c>
      <c r="H258" s="7" t="str">
        <f>IFERROR(INDEX(Chart_of_Accounts!$C$2:$C$18,MATCH(F258,Chart_of_Accounts!$A$2:$A$18,0)),"")</f>
        <v>Liability</v>
      </c>
      <c r="I258" s="9">
        <v>27406.080000000002</v>
      </c>
      <c r="J258" s="9"/>
      <c r="K258" s="7" t="s">
        <v>177</v>
      </c>
      <c r="L258" s="7" t="s">
        <v>32</v>
      </c>
      <c r="M258" s="7" t="s">
        <v>114</v>
      </c>
      <c r="N258" s="7" t="s">
        <v>86</v>
      </c>
      <c r="O258" s="7" t="str">
        <f>IFERROR(INDEX(Vendors!$B$2:$B$10,MATCH(N258,Vendors!$A$2:$A$10,0)),"")</f>
        <v>Gulf Coast Meat Supply</v>
      </c>
      <c r="P258" s="7" t="s">
        <v>115</v>
      </c>
    </row>
    <row r="259" spans="1:16" x14ac:dyDescent="0.25">
      <c r="A259" s="7">
        <v>129</v>
      </c>
      <c r="B259" s="7" t="s">
        <v>266</v>
      </c>
      <c r="C259" s="8">
        <v>46099</v>
      </c>
      <c r="D259" s="7" t="s">
        <v>78</v>
      </c>
      <c r="E259" s="7" t="str">
        <f>IFERROR(INDEX(Restaurants!$B$2:$B$6,MATCH(D259,Restaurants!$A$2:$A$6,0)),"")</f>
        <v>Trailhead Burger Co. #103 - Corpus Christi, TX</v>
      </c>
      <c r="F259" s="7" t="s">
        <v>31</v>
      </c>
      <c r="G259" s="7" t="str">
        <f>IFERROR(INDEX(Chart_of_Accounts!$B$2:$B$18,MATCH(F259,Chart_of_Accounts!$A$2:$A$18,0)),"")</f>
        <v>Cash</v>
      </c>
      <c r="H259" s="7" t="str">
        <f>IFERROR(INDEX(Chart_of_Accounts!$C$2:$C$18,MATCH(F259,Chart_of_Accounts!$A$2:$A$18,0)),"")</f>
        <v>Asset</v>
      </c>
      <c r="I259" s="9"/>
      <c r="J259" s="9">
        <v>27406.080000000002</v>
      </c>
      <c r="K259" s="7" t="s">
        <v>177</v>
      </c>
      <c r="L259" s="7" t="s">
        <v>32</v>
      </c>
      <c r="M259" s="7" t="s">
        <v>114</v>
      </c>
      <c r="N259" s="7" t="s">
        <v>86</v>
      </c>
      <c r="O259" s="7" t="str">
        <f>IFERROR(INDEX(Vendors!$B$2:$B$10,MATCH(N259,Vendors!$A$2:$A$10,0)),"")</f>
        <v>Gulf Coast Meat Supply</v>
      </c>
      <c r="P259" s="7" t="s">
        <v>115</v>
      </c>
    </row>
    <row r="260" spans="1:16" x14ac:dyDescent="0.25">
      <c r="A260" s="7">
        <v>130</v>
      </c>
      <c r="B260" s="7" t="s">
        <v>267</v>
      </c>
      <c r="C260" s="8">
        <v>46027</v>
      </c>
      <c r="D260" s="7" t="s">
        <v>80</v>
      </c>
      <c r="E260" s="7" t="str">
        <f>IFERROR(INDEX(Restaurants!$B$2:$B$6,MATCH(D260,Restaurants!$A$2:$A$6,0)),"")</f>
        <v>Trailhead Burger Co. #104 - Laredo, TX</v>
      </c>
      <c r="F260" s="7" t="s">
        <v>31</v>
      </c>
      <c r="G260" s="7" t="str">
        <f>IFERROR(INDEX(Chart_of_Accounts!$B$2:$B$18,MATCH(F260,Chart_of_Accounts!$A$2:$A$18,0)),"")</f>
        <v>Cash</v>
      </c>
      <c r="H260" s="7" t="str">
        <f>IFERROR(INDEX(Chart_of_Accounts!$C$2:$C$18,MATCH(F260,Chart_of_Accounts!$A$2:$A$18,0)),"")</f>
        <v>Asset</v>
      </c>
      <c r="I260" s="9">
        <v>85000</v>
      </c>
      <c r="J260" s="9"/>
      <c r="K260" s="7" t="s">
        <v>134</v>
      </c>
      <c r="L260" s="7" t="s">
        <v>32</v>
      </c>
      <c r="M260" s="7" t="s">
        <v>135</v>
      </c>
      <c r="N260" s="7"/>
      <c r="O260" s="7"/>
      <c r="P260" s="7" t="s">
        <v>136</v>
      </c>
    </row>
    <row r="261" spans="1:16" x14ac:dyDescent="0.25">
      <c r="A261" s="7">
        <v>130</v>
      </c>
      <c r="B261" s="7" t="s">
        <v>267</v>
      </c>
      <c r="C261" s="8">
        <v>46027</v>
      </c>
      <c r="D261" s="7" t="s">
        <v>80</v>
      </c>
      <c r="E261" s="7" t="str">
        <f>IFERROR(INDEX(Restaurants!$B$2:$B$6,MATCH(D261,Restaurants!$A$2:$A$6,0)),"")</f>
        <v>Trailhead Burger Co. #104 - Laredo, TX</v>
      </c>
      <c r="F261" s="7" t="s">
        <v>50</v>
      </c>
      <c r="G261" s="7" t="str">
        <f>IFERROR(INDEX(Chart_of_Accounts!$B$2:$B$18,MATCH(F261,Chart_of_Accounts!$A$2:$A$18,0)),"")</f>
        <v>Restaurant Sales</v>
      </c>
      <c r="H261" s="7" t="str">
        <f>IFERROR(INDEX(Chart_of_Accounts!$C$2:$C$18,MATCH(F261,Chart_of_Accounts!$A$2:$A$18,0)),"")</f>
        <v>Revenue</v>
      </c>
      <c r="I261" s="9"/>
      <c r="J261" s="9">
        <v>85000</v>
      </c>
      <c r="K261" s="7" t="s">
        <v>134</v>
      </c>
      <c r="L261" s="7" t="s">
        <v>32</v>
      </c>
      <c r="M261" s="7" t="s">
        <v>135</v>
      </c>
      <c r="N261" s="7"/>
      <c r="O261" s="7"/>
      <c r="P261" s="7" t="s">
        <v>136</v>
      </c>
    </row>
    <row r="262" spans="1:16" x14ac:dyDescent="0.25">
      <c r="A262" s="7">
        <v>131</v>
      </c>
      <c r="B262" s="7" t="s">
        <v>268</v>
      </c>
      <c r="C262" s="8">
        <v>46029</v>
      </c>
      <c r="D262" s="7" t="s">
        <v>80</v>
      </c>
      <c r="E262" s="7" t="str">
        <f>IFERROR(INDEX(Restaurants!$B$2:$B$6,MATCH(D262,Restaurants!$A$2:$A$6,0)),"")</f>
        <v>Trailhead Burger Co. #104 - Laredo, TX</v>
      </c>
      <c r="F262" s="7" t="s">
        <v>35</v>
      </c>
      <c r="G262" s="7" t="str">
        <f>IFERROR(INDEX(Chart_of_Accounts!$B$2:$B$18,MATCH(F262,Chart_of_Accounts!$A$2:$A$18,0)),"")</f>
        <v>Accounts Receivable</v>
      </c>
      <c r="H262" s="7" t="str">
        <f>IFERROR(INDEX(Chart_of_Accounts!$C$2:$C$18,MATCH(F262,Chart_of_Accounts!$A$2:$A$18,0)),"")</f>
        <v>Asset</v>
      </c>
      <c r="I262" s="9">
        <v>18700</v>
      </c>
      <c r="J262" s="9"/>
      <c r="K262" s="7" t="s">
        <v>138</v>
      </c>
      <c r="L262" s="7" t="s">
        <v>139</v>
      </c>
      <c r="M262" s="7" t="s">
        <v>140</v>
      </c>
      <c r="N262" s="7" t="s">
        <v>94</v>
      </c>
      <c r="O262" s="7" t="str">
        <f>IFERROR(INDEX(Vendors!$B$2:$B$10,MATCH(N262,Vendors!$A$2:$A$10,0)),"")</f>
        <v>QuickDash Delivery Platform</v>
      </c>
      <c r="P262" s="7" t="s">
        <v>136</v>
      </c>
    </row>
    <row r="263" spans="1:16" x14ac:dyDescent="0.25">
      <c r="A263" s="7">
        <v>131</v>
      </c>
      <c r="B263" s="7" t="s">
        <v>268</v>
      </c>
      <c r="C263" s="8">
        <v>46029</v>
      </c>
      <c r="D263" s="7" t="s">
        <v>80</v>
      </c>
      <c r="E263" s="7" t="str">
        <f>IFERROR(INDEX(Restaurants!$B$2:$B$6,MATCH(D263,Restaurants!$A$2:$A$6,0)),"")</f>
        <v>Trailhead Burger Co. #104 - Laredo, TX</v>
      </c>
      <c r="F263" s="7" t="s">
        <v>53</v>
      </c>
      <c r="G263" s="7" t="str">
        <f>IFERROR(INDEX(Chart_of_Accounts!$B$2:$B$18,MATCH(F263,Chart_of_Accounts!$A$2:$A$18,0)),"")</f>
        <v>Delivery Sales</v>
      </c>
      <c r="H263" s="7" t="str">
        <f>IFERROR(INDEX(Chart_of_Accounts!$C$2:$C$18,MATCH(F263,Chart_of_Accounts!$A$2:$A$18,0)),"")</f>
        <v>Revenue</v>
      </c>
      <c r="I263" s="9"/>
      <c r="J263" s="9">
        <v>18700</v>
      </c>
      <c r="K263" s="7" t="s">
        <v>138</v>
      </c>
      <c r="L263" s="7" t="s">
        <v>139</v>
      </c>
      <c r="M263" s="7" t="s">
        <v>140</v>
      </c>
      <c r="N263" s="7" t="s">
        <v>94</v>
      </c>
      <c r="O263" s="7" t="str">
        <f>IFERROR(INDEX(Vendors!$B$2:$B$10,MATCH(N263,Vendors!$A$2:$A$10,0)),"")</f>
        <v>QuickDash Delivery Platform</v>
      </c>
      <c r="P263" s="7" t="s">
        <v>136</v>
      </c>
    </row>
    <row r="264" spans="1:16" x14ac:dyDescent="0.25">
      <c r="A264" s="7">
        <v>132</v>
      </c>
      <c r="B264" s="7" t="s">
        <v>269</v>
      </c>
      <c r="C264" s="8">
        <v>46032</v>
      </c>
      <c r="D264" s="7" t="s">
        <v>80</v>
      </c>
      <c r="E264" s="7" t="str">
        <f>IFERROR(INDEX(Restaurants!$B$2:$B$6,MATCH(D264,Restaurants!$A$2:$A$6,0)),"")</f>
        <v>Trailhead Burger Co. #104 - Laredo, TX</v>
      </c>
      <c r="F264" s="7" t="s">
        <v>31</v>
      </c>
      <c r="G264" s="7" t="str">
        <f>IFERROR(INDEX(Chart_of_Accounts!$B$2:$B$18,MATCH(F264,Chart_of_Accounts!$A$2:$A$18,0)),"")</f>
        <v>Cash</v>
      </c>
      <c r="H264" s="7" t="str">
        <f>IFERROR(INDEX(Chart_of_Accounts!$C$2:$C$18,MATCH(F264,Chart_of_Accounts!$A$2:$A$18,0)),"")</f>
        <v>Asset</v>
      </c>
      <c r="I264" s="9">
        <v>18700</v>
      </c>
      <c r="J264" s="9"/>
      <c r="K264" s="7" t="s">
        <v>142</v>
      </c>
      <c r="L264" s="7" t="s">
        <v>139</v>
      </c>
      <c r="M264" s="7" t="s">
        <v>140</v>
      </c>
      <c r="N264" s="7" t="s">
        <v>94</v>
      </c>
      <c r="O264" s="7" t="str">
        <f>IFERROR(INDEX(Vendors!$B$2:$B$10,MATCH(N264,Vendors!$A$2:$A$10,0)),"")</f>
        <v>QuickDash Delivery Platform</v>
      </c>
      <c r="P264" s="7" t="s">
        <v>136</v>
      </c>
    </row>
    <row r="265" spans="1:16" x14ac:dyDescent="0.25">
      <c r="A265" s="7">
        <v>132</v>
      </c>
      <c r="B265" s="7" t="s">
        <v>269</v>
      </c>
      <c r="C265" s="8">
        <v>46032</v>
      </c>
      <c r="D265" s="7" t="s">
        <v>80</v>
      </c>
      <c r="E265" s="7" t="str">
        <f>IFERROR(INDEX(Restaurants!$B$2:$B$6,MATCH(D265,Restaurants!$A$2:$A$6,0)),"")</f>
        <v>Trailhead Burger Co. #104 - Laredo, TX</v>
      </c>
      <c r="F265" s="7" t="s">
        <v>35</v>
      </c>
      <c r="G265" s="7" t="str">
        <f>IFERROR(INDEX(Chart_of_Accounts!$B$2:$B$18,MATCH(F265,Chart_of_Accounts!$A$2:$A$18,0)),"")</f>
        <v>Accounts Receivable</v>
      </c>
      <c r="H265" s="7" t="str">
        <f>IFERROR(INDEX(Chart_of_Accounts!$C$2:$C$18,MATCH(F265,Chart_of_Accounts!$A$2:$A$18,0)),"")</f>
        <v>Asset</v>
      </c>
      <c r="I265" s="9"/>
      <c r="J265" s="9">
        <v>18700</v>
      </c>
      <c r="K265" s="7" t="s">
        <v>142</v>
      </c>
      <c r="L265" s="7" t="s">
        <v>139</v>
      </c>
      <c r="M265" s="7" t="s">
        <v>140</v>
      </c>
      <c r="N265" s="7" t="s">
        <v>94</v>
      </c>
      <c r="O265" s="7" t="str">
        <f>IFERROR(INDEX(Vendors!$B$2:$B$10,MATCH(N265,Vendors!$A$2:$A$10,0)),"")</f>
        <v>QuickDash Delivery Platform</v>
      </c>
      <c r="P265" s="7" t="s">
        <v>136</v>
      </c>
    </row>
    <row r="266" spans="1:16" x14ac:dyDescent="0.25">
      <c r="A266" s="7">
        <v>133</v>
      </c>
      <c r="B266" s="7" t="s">
        <v>270</v>
      </c>
      <c r="C266" s="8">
        <v>46032</v>
      </c>
      <c r="D266" s="7" t="s">
        <v>80</v>
      </c>
      <c r="E266" s="7" t="str">
        <f>IFERROR(INDEX(Restaurants!$B$2:$B$6,MATCH(D266,Restaurants!$A$2:$A$6,0)),"")</f>
        <v>Trailhead Burger Co. #104 - Laredo, TX</v>
      </c>
      <c r="F266" s="7" t="s">
        <v>64</v>
      </c>
      <c r="G266" s="7" t="str">
        <f>IFERROR(INDEX(Chart_of_Accounts!$B$2:$B$18,MATCH(F266,Chart_of_Accounts!$A$2:$A$18,0)),"")</f>
        <v>Delivery Fees</v>
      </c>
      <c r="H266" s="7" t="str">
        <f>IFERROR(INDEX(Chart_of_Accounts!$C$2:$C$18,MATCH(F266,Chart_of_Accounts!$A$2:$A$18,0)),"")</f>
        <v>Expense</v>
      </c>
      <c r="I266" s="9">
        <v>2805</v>
      </c>
      <c r="J266" s="9"/>
      <c r="K266" s="7" t="s">
        <v>144</v>
      </c>
      <c r="L266" s="7" t="s">
        <v>32</v>
      </c>
      <c r="M266" s="7" t="s">
        <v>140</v>
      </c>
      <c r="N266" s="7" t="s">
        <v>94</v>
      </c>
      <c r="O266" s="7" t="str">
        <f>IFERROR(INDEX(Vendors!$B$2:$B$10,MATCH(N266,Vendors!$A$2:$A$10,0)),"")</f>
        <v>QuickDash Delivery Platform</v>
      </c>
      <c r="P266" s="7" t="s">
        <v>136</v>
      </c>
    </row>
    <row r="267" spans="1:16" x14ac:dyDescent="0.25">
      <c r="A267" s="7">
        <v>133</v>
      </c>
      <c r="B267" s="7" t="s">
        <v>270</v>
      </c>
      <c r="C267" s="8">
        <v>46032</v>
      </c>
      <c r="D267" s="7" t="s">
        <v>80</v>
      </c>
      <c r="E267" s="7" t="str">
        <f>IFERROR(INDEX(Restaurants!$B$2:$B$6,MATCH(D267,Restaurants!$A$2:$A$6,0)),"")</f>
        <v>Trailhead Burger Co. #104 - Laredo, TX</v>
      </c>
      <c r="F267" s="7" t="s">
        <v>31</v>
      </c>
      <c r="G267" s="7" t="str">
        <f>IFERROR(INDEX(Chart_of_Accounts!$B$2:$B$18,MATCH(F267,Chart_of_Accounts!$A$2:$A$18,0)),"")</f>
        <v>Cash</v>
      </c>
      <c r="H267" s="7" t="str">
        <f>IFERROR(INDEX(Chart_of_Accounts!$C$2:$C$18,MATCH(F267,Chart_of_Accounts!$A$2:$A$18,0)),"")</f>
        <v>Asset</v>
      </c>
      <c r="I267" s="9"/>
      <c r="J267" s="9">
        <v>2805</v>
      </c>
      <c r="K267" s="7" t="s">
        <v>144</v>
      </c>
      <c r="L267" s="7" t="s">
        <v>32</v>
      </c>
      <c r="M267" s="7" t="s">
        <v>140</v>
      </c>
      <c r="N267" s="7" t="s">
        <v>94</v>
      </c>
      <c r="O267" s="7" t="str">
        <f>IFERROR(INDEX(Vendors!$B$2:$B$10,MATCH(N267,Vendors!$A$2:$A$10,0)),"")</f>
        <v>QuickDash Delivery Platform</v>
      </c>
      <c r="P267" s="7" t="s">
        <v>136</v>
      </c>
    </row>
    <row r="268" spans="1:16" x14ac:dyDescent="0.25">
      <c r="A268" s="7">
        <v>134</v>
      </c>
      <c r="B268" s="7" t="s">
        <v>271</v>
      </c>
      <c r="C268" s="8">
        <v>46030</v>
      </c>
      <c r="D268" s="7" t="s">
        <v>80</v>
      </c>
      <c r="E268" s="7" t="str">
        <f>IFERROR(INDEX(Restaurants!$B$2:$B$6,MATCH(D268,Restaurants!$A$2:$A$6,0)),"")</f>
        <v>Trailhead Burger Co. #104 - Laredo, TX</v>
      </c>
      <c r="F268" s="7" t="s">
        <v>37</v>
      </c>
      <c r="G268" s="7" t="str">
        <f>IFERROR(INDEX(Chart_of_Accounts!$B$2:$B$18,MATCH(F268,Chart_of_Accounts!$A$2:$A$18,0)),"")</f>
        <v>Inventory</v>
      </c>
      <c r="H268" s="7" t="str">
        <f>IFERROR(INDEX(Chart_of_Accounts!$C$2:$C$18,MATCH(F268,Chart_of_Accounts!$A$2:$A$18,0)),"")</f>
        <v>Asset</v>
      </c>
      <c r="I268" s="9">
        <v>32665.5</v>
      </c>
      <c r="J268" s="9"/>
      <c r="K268" s="7" t="s">
        <v>146</v>
      </c>
      <c r="L268" s="7" t="s">
        <v>113</v>
      </c>
      <c r="M268" s="7" t="s">
        <v>114</v>
      </c>
      <c r="N268" s="7" t="s">
        <v>86</v>
      </c>
      <c r="O268" s="7" t="str">
        <f>IFERROR(INDEX(Vendors!$B$2:$B$10,MATCH(N268,Vendors!$A$2:$A$10,0)),"")</f>
        <v>Gulf Coast Meat Supply</v>
      </c>
      <c r="P268" s="7" t="s">
        <v>147</v>
      </c>
    </row>
    <row r="269" spans="1:16" x14ac:dyDescent="0.25">
      <c r="A269" s="7">
        <v>134</v>
      </c>
      <c r="B269" s="7" t="s">
        <v>271</v>
      </c>
      <c r="C269" s="8">
        <v>46030</v>
      </c>
      <c r="D269" s="7" t="s">
        <v>80</v>
      </c>
      <c r="E269" s="7" t="str">
        <f>IFERROR(INDEX(Restaurants!$B$2:$B$6,MATCH(D269,Restaurants!$A$2:$A$6,0)),"")</f>
        <v>Trailhead Burger Co. #104 - Laredo, TX</v>
      </c>
      <c r="F269" s="7" t="s">
        <v>41</v>
      </c>
      <c r="G269" s="7" t="str">
        <f>IFERROR(INDEX(Chart_of_Accounts!$B$2:$B$18,MATCH(F269,Chart_of_Accounts!$A$2:$A$18,0)),"")</f>
        <v>Accounts Payable</v>
      </c>
      <c r="H269" s="7" t="str">
        <f>IFERROR(INDEX(Chart_of_Accounts!$C$2:$C$18,MATCH(F269,Chart_of_Accounts!$A$2:$A$18,0)),"")</f>
        <v>Liability</v>
      </c>
      <c r="I269" s="9"/>
      <c r="J269" s="9">
        <v>32665.5</v>
      </c>
      <c r="K269" s="7" t="s">
        <v>146</v>
      </c>
      <c r="L269" s="7" t="s">
        <v>113</v>
      </c>
      <c r="M269" s="7" t="s">
        <v>114</v>
      </c>
      <c r="N269" s="7" t="s">
        <v>86</v>
      </c>
      <c r="O269" s="7" t="str">
        <f>IFERROR(INDEX(Vendors!$B$2:$B$10,MATCH(N269,Vendors!$A$2:$A$10,0)),"")</f>
        <v>Gulf Coast Meat Supply</v>
      </c>
      <c r="P269" s="7" t="s">
        <v>147</v>
      </c>
    </row>
    <row r="270" spans="1:16" x14ac:dyDescent="0.25">
      <c r="A270" s="7">
        <v>135</v>
      </c>
      <c r="B270" s="7" t="s">
        <v>272</v>
      </c>
      <c r="C270" s="8">
        <v>46050</v>
      </c>
      <c r="D270" s="7" t="s">
        <v>80</v>
      </c>
      <c r="E270" s="7" t="str">
        <f>IFERROR(INDEX(Restaurants!$B$2:$B$6,MATCH(D270,Restaurants!$A$2:$A$6,0)),"")</f>
        <v>Trailhead Burger Co. #104 - Laredo, TX</v>
      </c>
      <c r="F270" s="7" t="s">
        <v>55</v>
      </c>
      <c r="G270" s="7" t="str">
        <f>IFERROR(INDEX(Chart_of_Accounts!$B$2:$B$18,MATCH(F270,Chart_of_Accounts!$A$2:$A$18,0)),"")</f>
        <v>Food Cost</v>
      </c>
      <c r="H270" s="7" t="str">
        <f>IFERROR(INDEX(Chart_of_Accounts!$C$2:$C$18,MATCH(F270,Chart_of_Accounts!$A$2:$A$18,0)),"")</f>
        <v>Expense</v>
      </c>
      <c r="I270" s="9">
        <v>31110</v>
      </c>
      <c r="J270" s="9"/>
      <c r="K270" s="7" t="s">
        <v>149</v>
      </c>
      <c r="L270" s="7" t="s">
        <v>113</v>
      </c>
      <c r="M270" s="7" t="s">
        <v>114</v>
      </c>
      <c r="N270" s="7" t="s">
        <v>86</v>
      </c>
      <c r="O270" s="7" t="str">
        <f>IFERROR(INDEX(Vendors!$B$2:$B$10,MATCH(N270,Vendors!$A$2:$A$10,0)),"")</f>
        <v>Gulf Coast Meat Supply</v>
      </c>
      <c r="P270" s="7" t="s">
        <v>136</v>
      </c>
    </row>
    <row r="271" spans="1:16" x14ac:dyDescent="0.25">
      <c r="A271" s="7">
        <v>135</v>
      </c>
      <c r="B271" s="7" t="s">
        <v>272</v>
      </c>
      <c r="C271" s="8">
        <v>46050</v>
      </c>
      <c r="D271" s="7" t="s">
        <v>80</v>
      </c>
      <c r="E271" s="7" t="str">
        <f>IFERROR(INDEX(Restaurants!$B$2:$B$6,MATCH(D271,Restaurants!$A$2:$A$6,0)),"")</f>
        <v>Trailhead Burger Co. #104 - Laredo, TX</v>
      </c>
      <c r="F271" s="7" t="s">
        <v>37</v>
      </c>
      <c r="G271" s="7" t="str">
        <f>IFERROR(INDEX(Chart_of_Accounts!$B$2:$B$18,MATCH(F271,Chart_of_Accounts!$A$2:$A$18,0)),"")</f>
        <v>Inventory</v>
      </c>
      <c r="H271" s="7" t="str">
        <f>IFERROR(INDEX(Chart_of_Accounts!$C$2:$C$18,MATCH(F271,Chart_of_Accounts!$A$2:$A$18,0)),"")</f>
        <v>Asset</v>
      </c>
      <c r="I271" s="9"/>
      <c r="J271" s="9">
        <v>31110</v>
      </c>
      <c r="K271" s="7" t="s">
        <v>149</v>
      </c>
      <c r="L271" s="7" t="s">
        <v>113</v>
      </c>
      <c r="M271" s="7" t="s">
        <v>114</v>
      </c>
      <c r="N271" s="7" t="s">
        <v>86</v>
      </c>
      <c r="O271" s="7" t="str">
        <f>IFERROR(INDEX(Vendors!$B$2:$B$10,MATCH(N271,Vendors!$A$2:$A$10,0)),"")</f>
        <v>Gulf Coast Meat Supply</v>
      </c>
      <c r="P271" s="7" t="s">
        <v>136</v>
      </c>
    </row>
    <row r="272" spans="1:16" x14ac:dyDescent="0.25">
      <c r="A272" s="7">
        <v>136</v>
      </c>
      <c r="B272" s="7" t="s">
        <v>273</v>
      </c>
      <c r="C272" s="8">
        <v>46037</v>
      </c>
      <c r="D272" s="7" t="s">
        <v>80</v>
      </c>
      <c r="E272" s="7" t="str">
        <f>IFERROR(INDEX(Restaurants!$B$2:$B$6,MATCH(D272,Restaurants!$A$2:$A$6,0)),"")</f>
        <v>Trailhead Burger Co. #104 - Laredo, TX</v>
      </c>
      <c r="F272" s="7" t="s">
        <v>58</v>
      </c>
      <c r="G272" s="7" t="str">
        <f>IFERROR(INDEX(Chart_of_Accounts!$B$2:$B$18,MATCH(F272,Chart_of_Accounts!$A$2:$A$18,0)),"")</f>
        <v>Labor</v>
      </c>
      <c r="H272" s="7" t="str">
        <f>IFERROR(INDEX(Chart_of_Accounts!$C$2:$C$18,MATCH(F272,Chart_of_Accounts!$A$2:$A$18,0)),"")</f>
        <v>Expense</v>
      </c>
      <c r="I272" s="9">
        <v>26962</v>
      </c>
      <c r="J272" s="9"/>
      <c r="K272" s="7" t="s">
        <v>151</v>
      </c>
      <c r="L272" s="7" t="s">
        <v>32</v>
      </c>
      <c r="M272" s="7" t="s">
        <v>114</v>
      </c>
      <c r="N272" s="7"/>
      <c r="O272" s="7"/>
      <c r="P272" s="7" t="s">
        <v>152</v>
      </c>
    </row>
    <row r="273" spans="1:16" x14ac:dyDescent="0.25">
      <c r="A273" s="7">
        <v>136</v>
      </c>
      <c r="B273" s="7" t="s">
        <v>273</v>
      </c>
      <c r="C273" s="8">
        <v>46037</v>
      </c>
      <c r="D273" s="7" t="s">
        <v>80</v>
      </c>
      <c r="E273" s="7" t="str">
        <f>IFERROR(INDEX(Restaurants!$B$2:$B$6,MATCH(D273,Restaurants!$A$2:$A$6,0)),"")</f>
        <v>Trailhead Burger Co. #104 - Laredo, TX</v>
      </c>
      <c r="F273" s="7" t="s">
        <v>31</v>
      </c>
      <c r="G273" s="7" t="str">
        <f>IFERROR(INDEX(Chart_of_Accounts!$B$2:$B$18,MATCH(F273,Chart_of_Accounts!$A$2:$A$18,0)),"")</f>
        <v>Cash</v>
      </c>
      <c r="H273" s="7" t="str">
        <f>IFERROR(INDEX(Chart_of_Accounts!$C$2:$C$18,MATCH(F273,Chart_of_Accounts!$A$2:$A$18,0)),"")</f>
        <v>Asset</v>
      </c>
      <c r="I273" s="9"/>
      <c r="J273" s="9">
        <v>26962</v>
      </c>
      <c r="K273" s="7" t="s">
        <v>151</v>
      </c>
      <c r="L273" s="7" t="s">
        <v>32</v>
      </c>
      <c r="M273" s="7" t="s">
        <v>114</v>
      </c>
      <c r="N273" s="7"/>
      <c r="O273" s="7"/>
      <c r="P273" s="7" t="s">
        <v>152</v>
      </c>
    </row>
    <row r="274" spans="1:16" x14ac:dyDescent="0.25">
      <c r="A274" s="7">
        <v>137</v>
      </c>
      <c r="B274" s="7" t="s">
        <v>274</v>
      </c>
      <c r="C274" s="8">
        <v>46023</v>
      </c>
      <c r="D274" s="7" t="s">
        <v>80</v>
      </c>
      <c r="E274" s="7" t="str">
        <f>IFERROR(INDEX(Restaurants!$B$2:$B$6,MATCH(D274,Restaurants!$A$2:$A$6,0)),"")</f>
        <v>Trailhead Burger Co. #104 - Laredo, TX</v>
      </c>
      <c r="F274" s="7" t="s">
        <v>60</v>
      </c>
      <c r="G274" s="7" t="str">
        <f>IFERROR(INDEX(Chart_of_Accounts!$B$2:$B$18,MATCH(F274,Chart_of_Accounts!$A$2:$A$18,0)),"")</f>
        <v>Rent</v>
      </c>
      <c r="H274" s="7" t="str">
        <f>IFERROR(INDEX(Chart_of_Accounts!$C$2:$C$18,MATCH(F274,Chart_of_Accounts!$A$2:$A$18,0)),"")</f>
        <v>Expense</v>
      </c>
      <c r="I274" s="9">
        <v>8000</v>
      </c>
      <c r="J274" s="9"/>
      <c r="K274" s="7" t="s">
        <v>154</v>
      </c>
      <c r="L274" s="7" t="s">
        <v>32</v>
      </c>
      <c r="M274" s="7" t="s">
        <v>114</v>
      </c>
      <c r="N274" s="7" t="s">
        <v>98</v>
      </c>
      <c r="O274" s="7" t="str">
        <f>IFERROR(INDEX(Vendors!$B$2:$B$10,MATCH(N274,Vendors!$A$2:$A$10,0)),"")</f>
        <v>Prime Property Management</v>
      </c>
      <c r="P274" s="7" t="s">
        <v>115</v>
      </c>
    </row>
    <row r="275" spans="1:16" x14ac:dyDescent="0.25">
      <c r="A275" s="7">
        <v>137</v>
      </c>
      <c r="B275" s="7" t="s">
        <v>274</v>
      </c>
      <c r="C275" s="8">
        <v>46023</v>
      </c>
      <c r="D275" s="7" t="s">
        <v>80</v>
      </c>
      <c r="E275" s="7" t="str">
        <f>IFERROR(INDEX(Restaurants!$B$2:$B$6,MATCH(D275,Restaurants!$A$2:$A$6,0)),"")</f>
        <v>Trailhead Burger Co. #104 - Laredo, TX</v>
      </c>
      <c r="F275" s="7" t="s">
        <v>31</v>
      </c>
      <c r="G275" s="7" t="str">
        <f>IFERROR(INDEX(Chart_of_Accounts!$B$2:$B$18,MATCH(F275,Chart_of_Accounts!$A$2:$A$18,0)),"")</f>
        <v>Cash</v>
      </c>
      <c r="H275" s="7" t="str">
        <f>IFERROR(INDEX(Chart_of_Accounts!$C$2:$C$18,MATCH(F275,Chart_of_Accounts!$A$2:$A$18,0)),"")</f>
        <v>Asset</v>
      </c>
      <c r="I275" s="9"/>
      <c r="J275" s="9">
        <v>8000</v>
      </c>
      <c r="K275" s="7" t="s">
        <v>154</v>
      </c>
      <c r="L275" s="7" t="s">
        <v>32</v>
      </c>
      <c r="M275" s="7" t="s">
        <v>114</v>
      </c>
      <c r="N275" s="7" t="s">
        <v>98</v>
      </c>
      <c r="O275" s="7" t="str">
        <f>IFERROR(INDEX(Vendors!$B$2:$B$10,MATCH(N275,Vendors!$A$2:$A$10,0)),"")</f>
        <v>Prime Property Management</v>
      </c>
      <c r="P275" s="7" t="s">
        <v>115</v>
      </c>
    </row>
    <row r="276" spans="1:16" x14ac:dyDescent="0.25">
      <c r="A276" s="7">
        <v>138</v>
      </c>
      <c r="B276" s="7" t="s">
        <v>275</v>
      </c>
      <c r="C276" s="8">
        <v>46042</v>
      </c>
      <c r="D276" s="7" t="s">
        <v>80</v>
      </c>
      <c r="E276" s="7" t="str">
        <f>IFERROR(INDEX(Restaurants!$B$2:$B$6,MATCH(D276,Restaurants!$A$2:$A$6,0)),"")</f>
        <v>Trailhead Burger Co. #104 - Laredo, TX</v>
      </c>
      <c r="F276" s="7" t="s">
        <v>62</v>
      </c>
      <c r="G276" s="7" t="str">
        <f>IFERROR(INDEX(Chart_of_Accounts!$B$2:$B$18,MATCH(F276,Chart_of_Accounts!$A$2:$A$18,0)),"")</f>
        <v>Utilities</v>
      </c>
      <c r="H276" s="7" t="str">
        <f>IFERROR(INDEX(Chart_of_Accounts!$C$2:$C$18,MATCH(F276,Chart_of_Accounts!$A$2:$A$18,0)),"")</f>
        <v>Expense</v>
      </c>
      <c r="I276" s="9">
        <v>2200</v>
      </c>
      <c r="J276" s="9"/>
      <c r="K276" s="7" t="s">
        <v>156</v>
      </c>
      <c r="L276" s="7" t="s">
        <v>32</v>
      </c>
      <c r="M276" s="7" t="s">
        <v>114</v>
      </c>
      <c r="N276" s="7" t="s">
        <v>96</v>
      </c>
      <c r="O276" s="7" t="str">
        <f>IFERROR(INDEX(Vendors!$B$2:$B$10,MATCH(N276,Vendors!$A$2:$A$10,0)),"")</f>
        <v>CityWide Utilities</v>
      </c>
      <c r="P276" s="7" t="s">
        <v>157</v>
      </c>
    </row>
    <row r="277" spans="1:16" x14ac:dyDescent="0.25">
      <c r="A277" s="7">
        <v>138</v>
      </c>
      <c r="B277" s="7" t="s">
        <v>275</v>
      </c>
      <c r="C277" s="8">
        <v>46042</v>
      </c>
      <c r="D277" s="7" t="s">
        <v>80</v>
      </c>
      <c r="E277" s="7" t="str">
        <f>IFERROR(INDEX(Restaurants!$B$2:$B$6,MATCH(D277,Restaurants!$A$2:$A$6,0)),"")</f>
        <v>Trailhead Burger Co. #104 - Laredo, TX</v>
      </c>
      <c r="F277" s="7" t="s">
        <v>31</v>
      </c>
      <c r="G277" s="7" t="str">
        <f>IFERROR(INDEX(Chart_of_Accounts!$B$2:$B$18,MATCH(F277,Chart_of_Accounts!$A$2:$A$18,0)),"")</f>
        <v>Cash</v>
      </c>
      <c r="H277" s="7" t="str">
        <f>IFERROR(INDEX(Chart_of_Accounts!$C$2:$C$18,MATCH(F277,Chart_of_Accounts!$A$2:$A$18,0)),"")</f>
        <v>Asset</v>
      </c>
      <c r="I277" s="9"/>
      <c r="J277" s="9">
        <v>2200</v>
      </c>
      <c r="K277" s="7" t="s">
        <v>156</v>
      </c>
      <c r="L277" s="7" t="s">
        <v>32</v>
      </c>
      <c r="M277" s="7" t="s">
        <v>114</v>
      </c>
      <c r="N277" s="7" t="s">
        <v>96</v>
      </c>
      <c r="O277" s="7" t="str">
        <f>IFERROR(INDEX(Vendors!$B$2:$B$10,MATCH(N277,Vendors!$A$2:$A$10,0)),"")</f>
        <v>CityWide Utilities</v>
      </c>
      <c r="P277" s="7" t="s">
        <v>157</v>
      </c>
    </row>
    <row r="278" spans="1:16" x14ac:dyDescent="0.25">
      <c r="A278" s="7">
        <v>139</v>
      </c>
      <c r="B278" s="7" t="s">
        <v>276</v>
      </c>
      <c r="C278" s="8">
        <v>46050</v>
      </c>
      <c r="D278" s="7" t="s">
        <v>80</v>
      </c>
      <c r="E278" s="7" t="str">
        <f>IFERROR(INDEX(Restaurants!$B$2:$B$6,MATCH(D278,Restaurants!$A$2:$A$6,0)),"")</f>
        <v>Trailhead Burger Co. #104 - Laredo, TX</v>
      </c>
      <c r="F278" s="7" t="s">
        <v>66</v>
      </c>
      <c r="G278" s="7" t="str">
        <f>IFERROR(INDEX(Chart_of_Accounts!$B$2:$B$18,MATCH(F278,Chart_of_Accounts!$A$2:$A$18,0)),"")</f>
        <v>CC Processing Fees</v>
      </c>
      <c r="H278" s="7" t="str">
        <f>IFERROR(INDEX(Chart_of_Accounts!$C$2:$C$18,MATCH(F278,Chart_of_Accounts!$A$2:$A$18,0)),"")</f>
        <v>Expense</v>
      </c>
      <c r="I278" s="9">
        <v>2592.5</v>
      </c>
      <c r="J278" s="9"/>
      <c r="K278" s="7" t="s">
        <v>159</v>
      </c>
      <c r="L278" s="7" t="s">
        <v>32</v>
      </c>
      <c r="M278" s="7" t="s">
        <v>114</v>
      </c>
      <c r="N278" s="7"/>
      <c r="O278" s="7"/>
      <c r="P278" s="7" t="s">
        <v>115</v>
      </c>
    </row>
    <row r="279" spans="1:16" x14ac:dyDescent="0.25">
      <c r="A279" s="7">
        <v>139</v>
      </c>
      <c r="B279" s="7" t="s">
        <v>276</v>
      </c>
      <c r="C279" s="8">
        <v>46050</v>
      </c>
      <c r="D279" s="7" t="s">
        <v>80</v>
      </c>
      <c r="E279" s="7" t="str">
        <f>IFERROR(INDEX(Restaurants!$B$2:$B$6,MATCH(D279,Restaurants!$A$2:$A$6,0)),"")</f>
        <v>Trailhead Burger Co. #104 - Laredo, TX</v>
      </c>
      <c r="F279" s="7" t="s">
        <v>31</v>
      </c>
      <c r="G279" s="7" t="str">
        <f>IFERROR(INDEX(Chart_of_Accounts!$B$2:$B$18,MATCH(F279,Chart_of_Accounts!$A$2:$A$18,0)),"")</f>
        <v>Cash</v>
      </c>
      <c r="H279" s="7" t="str">
        <f>IFERROR(INDEX(Chart_of_Accounts!$C$2:$C$18,MATCH(F279,Chart_of_Accounts!$A$2:$A$18,0)),"")</f>
        <v>Asset</v>
      </c>
      <c r="I279" s="9"/>
      <c r="J279" s="9">
        <v>2592.5</v>
      </c>
      <c r="K279" s="7" t="s">
        <v>159</v>
      </c>
      <c r="L279" s="7" t="s">
        <v>32</v>
      </c>
      <c r="M279" s="7" t="s">
        <v>114</v>
      </c>
      <c r="N279" s="7"/>
      <c r="O279" s="7"/>
      <c r="P279" s="7" t="s">
        <v>115</v>
      </c>
    </row>
    <row r="280" spans="1:16" x14ac:dyDescent="0.25">
      <c r="A280" s="7">
        <v>140</v>
      </c>
      <c r="B280" s="7" t="s">
        <v>277</v>
      </c>
      <c r="C280" s="8">
        <v>46034</v>
      </c>
      <c r="D280" s="7" t="s">
        <v>80</v>
      </c>
      <c r="E280" s="7" t="str">
        <f>IFERROR(INDEX(Restaurants!$B$2:$B$6,MATCH(D280,Restaurants!$A$2:$A$6,0)),"")</f>
        <v>Trailhead Burger Co. #104 - Laredo, TX</v>
      </c>
      <c r="F280" s="7" t="s">
        <v>68</v>
      </c>
      <c r="G280" s="7" t="str">
        <f>IFERROR(INDEX(Chart_of_Accounts!$B$2:$B$18,MATCH(F280,Chart_of_Accounts!$A$2:$A$18,0)),"")</f>
        <v>Marketing</v>
      </c>
      <c r="H280" s="7" t="str">
        <f>IFERROR(INDEX(Chart_of_Accounts!$C$2:$C$18,MATCH(F280,Chart_of_Accounts!$A$2:$A$18,0)),"")</f>
        <v>Expense</v>
      </c>
      <c r="I280" s="9">
        <v>3111</v>
      </c>
      <c r="J280" s="9"/>
      <c r="K280" s="7" t="s">
        <v>161</v>
      </c>
      <c r="L280" s="7" t="s">
        <v>32</v>
      </c>
      <c r="M280" s="7" t="s">
        <v>114</v>
      </c>
      <c r="N280" s="7" t="s">
        <v>100</v>
      </c>
      <c r="O280" s="7" t="str">
        <f>IFERROR(INDEX(Vendors!$B$2:$B$10,MATCH(N280,Vendors!$A$2:$A$10,0)),"")</f>
        <v>BrightSign Marketing Agency</v>
      </c>
      <c r="P280" s="7" t="s">
        <v>69</v>
      </c>
    </row>
    <row r="281" spans="1:16" x14ac:dyDescent="0.25">
      <c r="A281" s="7">
        <v>140</v>
      </c>
      <c r="B281" s="7" t="s">
        <v>277</v>
      </c>
      <c r="C281" s="8">
        <v>46034</v>
      </c>
      <c r="D281" s="7" t="s">
        <v>80</v>
      </c>
      <c r="E281" s="7" t="str">
        <f>IFERROR(INDEX(Restaurants!$B$2:$B$6,MATCH(D281,Restaurants!$A$2:$A$6,0)),"")</f>
        <v>Trailhead Burger Co. #104 - Laredo, TX</v>
      </c>
      <c r="F281" s="7" t="s">
        <v>31</v>
      </c>
      <c r="G281" s="7" t="str">
        <f>IFERROR(INDEX(Chart_of_Accounts!$B$2:$B$18,MATCH(F281,Chart_of_Accounts!$A$2:$A$18,0)),"")</f>
        <v>Cash</v>
      </c>
      <c r="H281" s="7" t="str">
        <f>IFERROR(INDEX(Chart_of_Accounts!$C$2:$C$18,MATCH(F281,Chart_of_Accounts!$A$2:$A$18,0)),"")</f>
        <v>Asset</v>
      </c>
      <c r="I281" s="9"/>
      <c r="J281" s="9">
        <v>3111</v>
      </c>
      <c r="K281" s="7" t="s">
        <v>161</v>
      </c>
      <c r="L281" s="7" t="s">
        <v>32</v>
      </c>
      <c r="M281" s="7" t="s">
        <v>114</v>
      </c>
      <c r="N281" s="7" t="s">
        <v>100</v>
      </c>
      <c r="O281" s="7" t="str">
        <f>IFERROR(INDEX(Vendors!$B$2:$B$10,MATCH(N281,Vendors!$A$2:$A$10,0)),"")</f>
        <v>BrightSign Marketing Agency</v>
      </c>
      <c r="P281" s="7" t="s">
        <v>69</v>
      </c>
    </row>
    <row r="282" spans="1:16" x14ac:dyDescent="0.25">
      <c r="A282" s="7">
        <v>141</v>
      </c>
      <c r="B282" s="7" t="s">
        <v>278</v>
      </c>
      <c r="C282" s="8">
        <v>46052</v>
      </c>
      <c r="D282" s="7" t="s">
        <v>80</v>
      </c>
      <c r="E282" s="7" t="str">
        <f>IFERROR(INDEX(Restaurants!$B$2:$B$6,MATCH(D282,Restaurants!$A$2:$A$6,0)),"")</f>
        <v>Trailhead Burger Co. #104 - Laredo, TX</v>
      </c>
      <c r="F282" s="7" t="s">
        <v>70</v>
      </c>
      <c r="G282" s="7" t="str">
        <f>IFERROR(INDEX(Chart_of_Accounts!$B$2:$B$18,MATCH(F282,Chart_of_Accounts!$A$2:$A$18,0)),"")</f>
        <v>Franchise Fees</v>
      </c>
      <c r="H282" s="7" t="str">
        <f>IFERROR(INDEX(Chart_of_Accounts!$C$2:$C$18,MATCH(F282,Chart_of_Accounts!$A$2:$A$18,0)),"")</f>
        <v>Expense</v>
      </c>
      <c r="I282" s="9">
        <v>4148</v>
      </c>
      <c r="J282" s="9"/>
      <c r="K282" s="7" t="s">
        <v>163</v>
      </c>
      <c r="L282" s="7" t="s">
        <v>32</v>
      </c>
      <c r="M282" s="7" t="s">
        <v>114</v>
      </c>
      <c r="N282" s="7" t="s">
        <v>102</v>
      </c>
      <c r="O282" s="7" t="str">
        <f>IFERROR(INDEX(Vendors!$B$2:$B$10,MATCH(N282,Vendors!$A$2:$A$10,0)),"")</f>
        <v>Trailhead Burger Co. - Corporate</v>
      </c>
      <c r="P282" s="7" t="s">
        <v>115</v>
      </c>
    </row>
    <row r="283" spans="1:16" x14ac:dyDescent="0.25">
      <c r="A283" s="7">
        <v>141</v>
      </c>
      <c r="B283" s="7" t="s">
        <v>278</v>
      </c>
      <c r="C283" s="8">
        <v>46052</v>
      </c>
      <c r="D283" s="7" t="s">
        <v>80</v>
      </c>
      <c r="E283" s="7" t="str">
        <f>IFERROR(INDEX(Restaurants!$B$2:$B$6,MATCH(D283,Restaurants!$A$2:$A$6,0)),"")</f>
        <v>Trailhead Burger Co. #104 - Laredo, TX</v>
      </c>
      <c r="F283" s="7" t="s">
        <v>31</v>
      </c>
      <c r="G283" s="7" t="str">
        <f>IFERROR(INDEX(Chart_of_Accounts!$B$2:$B$18,MATCH(F283,Chart_of_Accounts!$A$2:$A$18,0)),"")</f>
        <v>Cash</v>
      </c>
      <c r="H283" s="7" t="str">
        <f>IFERROR(INDEX(Chart_of_Accounts!$C$2:$C$18,MATCH(F283,Chart_of_Accounts!$A$2:$A$18,0)),"")</f>
        <v>Asset</v>
      </c>
      <c r="I283" s="9"/>
      <c r="J283" s="9">
        <v>4148</v>
      </c>
      <c r="K283" s="7" t="s">
        <v>163</v>
      </c>
      <c r="L283" s="7" t="s">
        <v>32</v>
      </c>
      <c r="M283" s="7" t="s">
        <v>114</v>
      </c>
      <c r="N283" s="7" t="s">
        <v>102</v>
      </c>
      <c r="O283" s="7" t="str">
        <f>IFERROR(INDEX(Vendors!$B$2:$B$10,MATCH(N283,Vendors!$A$2:$A$10,0)),"")</f>
        <v>Trailhead Burger Co. - Corporate</v>
      </c>
      <c r="P283" s="7" t="s">
        <v>115</v>
      </c>
    </row>
    <row r="284" spans="1:16" x14ac:dyDescent="0.25">
      <c r="A284" s="7">
        <v>142</v>
      </c>
      <c r="B284" s="7" t="s">
        <v>279</v>
      </c>
      <c r="C284" s="8">
        <v>46058</v>
      </c>
      <c r="D284" s="7" t="s">
        <v>80</v>
      </c>
      <c r="E284" s="7" t="str">
        <f>IFERROR(INDEX(Restaurants!$B$2:$B$6,MATCH(D284,Restaurants!$A$2:$A$6,0)),"")</f>
        <v>Trailhead Burger Co. #104 - Laredo, TX</v>
      </c>
      <c r="F284" s="7" t="s">
        <v>31</v>
      </c>
      <c r="G284" s="7" t="str">
        <f>IFERROR(INDEX(Chart_of_Accounts!$B$2:$B$18,MATCH(F284,Chart_of_Accounts!$A$2:$A$18,0)),"")</f>
        <v>Cash</v>
      </c>
      <c r="H284" s="7" t="str">
        <f>IFERROR(INDEX(Chart_of_Accounts!$C$2:$C$18,MATCH(F284,Chart_of_Accounts!$A$2:$A$18,0)),"")</f>
        <v>Asset</v>
      </c>
      <c r="I284" s="9">
        <v>86700</v>
      </c>
      <c r="J284" s="9"/>
      <c r="K284" s="7" t="s">
        <v>134</v>
      </c>
      <c r="L284" s="7" t="s">
        <v>32</v>
      </c>
      <c r="M284" s="7" t="s">
        <v>135</v>
      </c>
      <c r="N284" s="7"/>
      <c r="O284" s="7"/>
      <c r="P284" s="7" t="s">
        <v>136</v>
      </c>
    </row>
    <row r="285" spans="1:16" x14ac:dyDescent="0.25">
      <c r="A285" s="7">
        <v>142</v>
      </c>
      <c r="B285" s="7" t="s">
        <v>279</v>
      </c>
      <c r="C285" s="8">
        <v>46058</v>
      </c>
      <c r="D285" s="7" t="s">
        <v>80</v>
      </c>
      <c r="E285" s="7" t="str">
        <f>IFERROR(INDEX(Restaurants!$B$2:$B$6,MATCH(D285,Restaurants!$A$2:$A$6,0)),"")</f>
        <v>Trailhead Burger Co. #104 - Laredo, TX</v>
      </c>
      <c r="F285" s="7" t="s">
        <v>50</v>
      </c>
      <c r="G285" s="7" t="str">
        <f>IFERROR(INDEX(Chart_of_Accounts!$B$2:$B$18,MATCH(F285,Chart_of_Accounts!$A$2:$A$18,0)),"")</f>
        <v>Restaurant Sales</v>
      </c>
      <c r="H285" s="7" t="str">
        <f>IFERROR(INDEX(Chart_of_Accounts!$C$2:$C$18,MATCH(F285,Chart_of_Accounts!$A$2:$A$18,0)),"")</f>
        <v>Revenue</v>
      </c>
      <c r="I285" s="9"/>
      <c r="J285" s="9">
        <v>86700</v>
      </c>
      <c r="K285" s="7" t="s">
        <v>134</v>
      </c>
      <c r="L285" s="7" t="s">
        <v>32</v>
      </c>
      <c r="M285" s="7" t="s">
        <v>135</v>
      </c>
      <c r="N285" s="7"/>
      <c r="O285" s="7"/>
      <c r="P285" s="7" t="s">
        <v>136</v>
      </c>
    </row>
    <row r="286" spans="1:16" x14ac:dyDescent="0.25">
      <c r="A286" s="7">
        <v>143</v>
      </c>
      <c r="B286" s="7" t="s">
        <v>280</v>
      </c>
      <c r="C286" s="8">
        <v>46060</v>
      </c>
      <c r="D286" s="7" t="s">
        <v>80</v>
      </c>
      <c r="E286" s="7" t="str">
        <f>IFERROR(INDEX(Restaurants!$B$2:$B$6,MATCH(D286,Restaurants!$A$2:$A$6,0)),"")</f>
        <v>Trailhead Burger Co. #104 - Laredo, TX</v>
      </c>
      <c r="F286" s="7" t="s">
        <v>35</v>
      </c>
      <c r="G286" s="7" t="str">
        <f>IFERROR(INDEX(Chart_of_Accounts!$B$2:$B$18,MATCH(F286,Chart_of_Accounts!$A$2:$A$18,0)),"")</f>
        <v>Accounts Receivable</v>
      </c>
      <c r="H286" s="7" t="str">
        <f>IFERROR(INDEX(Chart_of_Accounts!$C$2:$C$18,MATCH(F286,Chart_of_Accounts!$A$2:$A$18,0)),"")</f>
        <v>Asset</v>
      </c>
      <c r="I286" s="9">
        <v>19074</v>
      </c>
      <c r="J286" s="9"/>
      <c r="K286" s="7" t="s">
        <v>138</v>
      </c>
      <c r="L286" s="7" t="s">
        <v>139</v>
      </c>
      <c r="M286" s="7" t="s">
        <v>140</v>
      </c>
      <c r="N286" s="7" t="s">
        <v>94</v>
      </c>
      <c r="O286" s="7" t="str">
        <f>IFERROR(INDEX(Vendors!$B$2:$B$10,MATCH(N286,Vendors!$A$2:$A$10,0)),"")</f>
        <v>QuickDash Delivery Platform</v>
      </c>
      <c r="P286" s="7" t="s">
        <v>136</v>
      </c>
    </row>
    <row r="287" spans="1:16" x14ac:dyDescent="0.25">
      <c r="A287" s="7">
        <v>143</v>
      </c>
      <c r="B287" s="7" t="s">
        <v>280</v>
      </c>
      <c r="C287" s="8">
        <v>46060</v>
      </c>
      <c r="D287" s="7" t="s">
        <v>80</v>
      </c>
      <c r="E287" s="7" t="str">
        <f>IFERROR(INDEX(Restaurants!$B$2:$B$6,MATCH(D287,Restaurants!$A$2:$A$6,0)),"")</f>
        <v>Trailhead Burger Co. #104 - Laredo, TX</v>
      </c>
      <c r="F287" s="7" t="s">
        <v>53</v>
      </c>
      <c r="G287" s="7" t="str">
        <f>IFERROR(INDEX(Chart_of_Accounts!$B$2:$B$18,MATCH(F287,Chart_of_Accounts!$A$2:$A$18,0)),"")</f>
        <v>Delivery Sales</v>
      </c>
      <c r="H287" s="7" t="str">
        <f>IFERROR(INDEX(Chart_of_Accounts!$C$2:$C$18,MATCH(F287,Chart_of_Accounts!$A$2:$A$18,0)),"")</f>
        <v>Revenue</v>
      </c>
      <c r="I287" s="9"/>
      <c r="J287" s="9">
        <v>19074</v>
      </c>
      <c r="K287" s="7" t="s">
        <v>138</v>
      </c>
      <c r="L287" s="7" t="s">
        <v>139</v>
      </c>
      <c r="M287" s="7" t="s">
        <v>140</v>
      </c>
      <c r="N287" s="7" t="s">
        <v>94</v>
      </c>
      <c r="O287" s="7" t="str">
        <f>IFERROR(INDEX(Vendors!$B$2:$B$10,MATCH(N287,Vendors!$A$2:$A$10,0)),"")</f>
        <v>QuickDash Delivery Platform</v>
      </c>
      <c r="P287" s="7" t="s">
        <v>136</v>
      </c>
    </row>
    <row r="288" spans="1:16" x14ac:dyDescent="0.25">
      <c r="A288" s="7">
        <v>144</v>
      </c>
      <c r="B288" s="7" t="s">
        <v>281</v>
      </c>
      <c r="C288" s="8">
        <v>46063</v>
      </c>
      <c r="D288" s="7" t="s">
        <v>80</v>
      </c>
      <c r="E288" s="7" t="str">
        <f>IFERROR(INDEX(Restaurants!$B$2:$B$6,MATCH(D288,Restaurants!$A$2:$A$6,0)),"")</f>
        <v>Trailhead Burger Co. #104 - Laredo, TX</v>
      </c>
      <c r="F288" s="7" t="s">
        <v>31</v>
      </c>
      <c r="G288" s="7" t="str">
        <f>IFERROR(INDEX(Chart_of_Accounts!$B$2:$B$18,MATCH(F288,Chart_of_Accounts!$A$2:$A$18,0)),"")</f>
        <v>Cash</v>
      </c>
      <c r="H288" s="7" t="str">
        <f>IFERROR(INDEX(Chart_of_Accounts!$C$2:$C$18,MATCH(F288,Chart_of_Accounts!$A$2:$A$18,0)),"")</f>
        <v>Asset</v>
      </c>
      <c r="I288" s="9">
        <v>19074</v>
      </c>
      <c r="J288" s="9"/>
      <c r="K288" s="7" t="s">
        <v>142</v>
      </c>
      <c r="L288" s="7" t="s">
        <v>139</v>
      </c>
      <c r="M288" s="7" t="s">
        <v>140</v>
      </c>
      <c r="N288" s="7" t="s">
        <v>94</v>
      </c>
      <c r="O288" s="7" t="str">
        <f>IFERROR(INDEX(Vendors!$B$2:$B$10,MATCH(N288,Vendors!$A$2:$A$10,0)),"")</f>
        <v>QuickDash Delivery Platform</v>
      </c>
      <c r="P288" s="7" t="s">
        <v>136</v>
      </c>
    </row>
    <row r="289" spans="1:16" x14ac:dyDescent="0.25">
      <c r="A289" s="7">
        <v>144</v>
      </c>
      <c r="B289" s="7" t="s">
        <v>281</v>
      </c>
      <c r="C289" s="8">
        <v>46063</v>
      </c>
      <c r="D289" s="7" t="s">
        <v>80</v>
      </c>
      <c r="E289" s="7" t="str">
        <f>IFERROR(INDEX(Restaurants!$B$2:$B$6,MATCH(D289,Restaurants!$A$2:$A$6,0)),"")</f>
        <v>Trailhead Burger Co. #104 - Laredo, TX</v>
      </c>
      <c r="F289" s="7" t="s">
        <v>35</v>
      </c>
      <c r="G289" s="7" t="str">
        <f>IFERROR(INDEX(Chart_of_Accounts!$B$2:$B$18,MATCH(F289,Chart_of_Accounts!$A$2:$A$18,0)),"")</f>
        <v>Accounts Receivable</v>
      </c>
      <c r="H289" s="7" t="str">
        <f>IFERROR(INDEX(Chart_of_Accounts!$C$2:$C$18,MATCH(F289,Chart_of_Accounts!$A$2:$A$18,0)),"")</f>
        <v>Asset</v>
      </c>
      <c r="I289" s="9"/>
      <c r="J289" s="9">
        <v>19074</v>
      </c>
      <c r="K289" s="7" t="s">
        <v>142</v>
      </c>
      <c r="L289" s="7" t="s">
        <v>139</v>
      </c>
      <c r="M289" s="7" t="s">
        <v>140</v>
      </c>
      <c r="N289" s="7" t="s">
        <v>94</v>
      </c>
      <c r="O289" s="7" t="str">
        <f>IFERROR(INDEX(Vendors!$B$2:$B$10,MATCH(N289,Vendors!$A$2:$A$10,0)),"")</f>
        <v>QuickDash Delivery Platform</v>
      </c>
      <c r="P289" s="7" t="s">
        <v>136</v>
      </c>
    </row>
    <row r="290" spans="1:16" x14ac:dyDescent="0.25">
      <c r="A290" s="7">
        <v>145</v>
      </c>
      <c r="B290" s="7" t="s">
        <v>282</v>
      </c>
      <c r="C290" s="8">
        <v>46063</v>
      </c>
      <c r="D290" s="7" t="s">
        <v>80</v>
      </c>
      <c r="E290" s="7" t="str">
        <f>IFERROR(INDEX(Restaurants!$B$2:$B$6,MATCH(D290,Restaurants!$A$2:$A$6,0)),"")</f>
        <v>Trailhead Burger Co. #104 - Laredo, TX</v>
      </c>
      <c r="F290" s="7" t="s">
        <v>64</v>
      </c>
      <c r="G290" s="7" t="str">
        <f>IFERROR(INDEX(Chart_of_Accounts!$B$2:$B$18,MATCH(F290,Chart_of_Accounts!$A$2:$A$18,0)),"")</f>
        <v>Delivery Fees</v>
      </c>
      <c r="H290" s="7" t="str">
        <f>IFERROR(INDEX(Chart_of_Accounts!$C$2:$C$18,MATCH(F290,Chart_of_Accounts!$A$2:$A$18,0)),"")</f>
        <v>Expense</v>
      </c>
      <c r="I290" s="9">
        <v>2861.1</v>
      </c>
      <c r="J290" s="9"/>
      <c r="K290" s="7" t="s">
        <v>144</v>
      </c>
      <c r="L290" s="7" t="s">
        <v>32</v>
      </c>
      <c r="M290" s="7" t="s">
        <v>140</v>
      </c>
      <c r="N290" s="7" t="s">
        <v>94</v>
      </c>
      <c r="O290" s="7" t="str">
        <f>IFERROR(INDEX(Vendors!$B$2:$B$10,MATCH(N290,Vendors!$A$2:$A$10,0)),"")</f>
        <v>QuickDash Delivery Platform</v>
      </c>
      <c r="P290" s="7" t="s">
        <v>136</v>
      </c>
    </row>
    <row r="291" spans="1:16" x14ac:dyDescent="0.25">
      <c r="A291" s="7">
        <v>145</v>
      </c>
      <c r="B291" s="7" t="s">
        <v>282</v>
      </c>
      <c r="C291" s="8">
        <v>46063</v>
      </c>
      <c r="D291" s="7" t="s">
        <v>80</v>
      </c>
      <c r="E291" s="7" t="str">
        <f>IFERROR(INDEX(Restaurants!$B$2:$B$6,MATCH(D291,Restaurants!$A$2:$A$6,0)),"")</f>
        <v>Trailhead Burger Co. #104 - Laredo, TX</v>
      </c>
      <c r="F291" s="7" t="s">
        <v>31</v>
      </c>
      <c r="G291" s="7" t="str">
        <f>IFERROR(INDEX(Chart_of_Accounts!$B$2:$B$18,MATCH(F291,Chart_of_Accounts!$A$2:$A$18,0)),"")</f>
        <v>Cash</v>
      </c>
      <c r="H291" s="7" t="str">
        <f>IFERROR(INDEX(Chart_of_Accounts!$C$2:$C$18,MATCH(F291,Chart_of_Accounts!$A$2:$A$18,0)),"")</f>
        <v>Asset</v>
      </c>
      <c r="I291" s="9"/>
      <c r="J291" s="9">
        <v>2861.1</v>
      </c>
      <c r="K291" s="7" t="s">
        <v>144</v>
      </c>
      <c r="L291" s="7" t="s">
        <v>32</v>
      </c>
      <c r="M291" s="7" t="s">
        <v>140</v>
      </c>
      <c r="N291" s="7" t="s">
        <v>94</v>
      </c>
      <c r="O291" s="7" t="str">
        <f>IFERROR(INDEX(Vendors!$B$2:$B$10,MATCH(N291,Vendors!$A$2:$A$10,0)),"")</f>
        <v>QuickDash Delivery Platform</v>
      </c>
      <c r="P291" s="7" t="s">
        <v>136</v>
      </c>
    </row>
    <row r="292" spans="1:16" x14ac:dyDescent="0.25">
      <c r="A292" s="7">
        <v>146</v>
      </c>
      <c r="B292" s="7" t="s">
        <v>283</v>
      </c>
      <c r="C292" s="8">
        <v>46061</v>
      </c>
      <c r="D292" s="7" t="s">
        <v>80</v>
      </c>
      <c r="E292" s="7" t="str">
        <f>IFERROR(INDEX(Restaurants!$B$2:$B$6,MATCH(D292,Restaurants!$A$2:$A$6,0)),"")</f>
        <v>Trailhead Burger Co. #104 - Laredo, TX</v>
      </c>
      <c r="F292" s="7" t="s">
        <v>37</v>
      </c>
      <c r="G292" s="7" t="str">
        <f>IFERROR(INDEX(Chart_of_Accounts!$B$2:$B$18,MATCH(F292,Chart_of_Accounts!$A$2:$A$18,0)),"")</f>
        <v>Inventory</v>
      </c>
      <c r="H292" s="7" t="str">
        <f>IFERROR(INDEX(Chart_of_Accounts!$C$2:$C$18,MATCH(F292,Chart_of_Accounts!$A$2:$A$18,0)),"")</f>
        <v>Asset</v>
      </c>
      <c r="I292" s="9">
        <v>33318.81</v>
      </c>
      <c r="J292" s="9"/>
      <c r="K292" s="7" t="s">
        <v>146</v>
      </c>
      <c r="L292" s="7" t="s">
        <v>113</v>
      </c>
      <c r="M292" s="7" t="s">
        <v>114</v>
      </c>
      <c r="N292" s="7" t="s">
        <v>88</v>
      </c>
      <c r="O292" s="7" t="str">
        <f>IFERROR(INDEX(Vendors!$B$2:$B$10,MATCH(N292,Vendors!$A$2:$A$10,0)),"")</f>
        <v>Fresh Produce Partners</v>
      </c>
      <c r="P292" s="7" t="s">
        <v>147</v>
      </c>
    </row>
    <row r="293" spans="1:16" x14ac:dyDescent="0.25">
      <c r="A293" s="7">
        <v>146</v>
      </c>
      <c r="B293" s="7" t="s">
        <v>283</v>
      </c>
      <c r="C293" s="8">
        <v>46061</v>
      </c>
      <c r="D293" s="7" t="s">
        <v>80</v>
      </c>
      <c r="E293" s="7" t="str">
        <f>IFERROR(INDEX(Restaurants!$B$2:$B$6,MATCH(D293,Restaurants!$A$2:$A$6,0)),"")</f>
        <v>Trailhead Burger Co. #104 - Laredo, TX</v>
      </c>
      <c r="F293" s="7" t="s">
        <v>41</v>
      </c>
      <c r="G293" s="7" t="str">
        <f>IFERROR(INDEX(Chart_of_Accounts!$B$2:$B$18,MATCH(F293,Chart_of_Accounts!$A$2:$A$18,0)),"")</f>
        <v>Accounts Payable</v>
      </c>
      <c r="H293" s="7" t="str">
        <f>IFERROR(INDEX(Chart_of_Accounts!$C$2:$C$18,MATCH(F293,Chart_of_Accounts!$A$2:$A$18,0)),"")</f>
        <v>Liability</v>
      </c>
      <c r="I293" s="9"/>
      <c r="J293" s="9">
        <v>33318.81</v>
      </c>
      <c r="K293" s="7" t="s">
        <v>146</v>
      </c>
      <c r="L293" s="7" t="s">
        <v>113</v>
      </c>
      <c r="M293" s="7" t="s">
        <v>114</v>
      </c>
      <c r="N293" s="7" t="s">
        <v>88</v>
      </c>
      <c r="O293" s="7" t="str">
        <f>IFERROR(INDEX(Vendors!$B$2:$B$10,MATCH(N293,Vendors!$A$2:$A$10,0)),"")</f>
        <v>Fresh Produce Partners</v>
      </c>
      <c r="P293" s="7" t="s">
        <v>147</v>
      </c>
    </row>
    <row r="294" spans="1:16" x14ac:dyDescent="0.25">
      <c r="A294" s="7">
        <v>147</v>
      </c>
      <c r="B294" s="7" t="s">
        <v>284</v>
      </c>
      <c r="C294" s="8">
        <v>46081</v>
      </c>
      <c r="D294" s="7" t="s">
        <v>80</v>
      </c>
      <c r="E294" s="7" t="str">
        <f>IFERROR(INDEX(Restaurants!$B$2:$B$6,MATCH(D294,Restaurants!$A$2:$A$6,0)),"")</f>
        <v>Trailhead Burger Co. #104 - Laredo, TX</v>
      </c>
      <c r="F294" s="7" t="s">
        <v>55</v>
      </c>
      <c r="G294" s="7" t="str">
        <f>IFERROR(INDEX(Chart_of_Accounts!$B$2:$B$18,MATCH(F294,Chart_of_Accounts!$A$2:$A$18,0)),"")</f>
        <v>Food Cost</v>
      </c>
      <c r="H294" s="7" t="str">
        <f>IFERROR(INDEX(Chart_of_Accounts!$C$2:$C$18,MATCH(F294,Chart_of_Accounts!$A$2:$A$18,0)),"")</f>
        <v>Expense</v>
      </c>
      <c r="I294" s="9">
        <v>31732.2</v>
      </c>
      <c r="J294" s="9"/>
      <c r="K294" s="7" t="s">
        <v>149</v>
      </c>
      <c r="L294" s="7" t="s">
        <v>113</v>
      </c>
      <c r="M294" s="7" t="s">
        <v>114</v>
      </c>
      <c r="N294" s="7" t="s">
        <v>88</v>
      </c>
      <c r="O294" s="7" t="str">
        <f>IFERROR(INDEX(Vendors!$B$2:$B$10,MATCH(N294,Vendors!$A$2:$A$10,0)),"")</f>
        <v>Fresh Produce Partners</v>
      </c>
      <c r="P294" s="7" t="s">
        <v>136</v>
      </c>
    </row>
    <row r="295" spans="1:16" x14ac:dyDescent="0.25">
      <c r="A295" s="7">
        <v>147</v>
      </c>
      <c r="B295" s="7" t="s">
        <v>284</v>
      </c>
      <c r="C295" s="8">
        <v>46081</v>
      </c>
      <c r="D295" s="7" t="s">
        <v>80</v>
      </c>
      <c r="E295" s="7" t="str">
        <f>IFERROR(INDEX(Restaurants!$B$2:$B$6,MATCH(D295,Restaurants!$A$2:$A$6,0)),"")</f>
        <v>Trailhead Burger Co. #104 - Laredo, TX</v>
      </c>
      <c r="F295" s="7" t="s">
        <v>37</v>
      </c>
      <c r="G295" s="7" t="str">
        <f>IFERROR(INDEX(Chart_of_Accounts!$B$2:$B$18,MATCH(F295,Chart_of_Accounts!$A$2:$A$18,0)),"")</f>
        <v>Inventory</v>
      </c>
      <c r="H295" s="7" t="str">
        <f>IFERROR(INDEX(Chart_of_Accounts!$C$2:$C$18,MATCH(F295,Chart_of_Accounts!$A$2:$A$18,0)),"")</f>
        <v>Asset</v>
      </c>
      <c r="I295" s="9"/>
      <c r="J295" s="9">
        <v>31732.2</v>
      </c>
      <c r="K295" s="7" t="s">
        <v>149</v>
      </c>
      <c r="L295" s="7" t="s">
        <v>113</v>
      </c>
      <c r="M295" s="7" t="s">
        <v>114</v>
      </c>
      <c r="N295" s="7" t="s">
        <v>88</v>
      </c>
      <c r="O295" s="7" t="str">
        <f>IFERROR(INDEX(Vendors!$B$2:$B$10,MATCH(N295,Vendors!$A$2:$A$10,0)),"")</f>
        <v>Fresh Produce Partners</v>
      </c>
      <c r="P295" s="7" t="s">
        <v>136</v>
      </c>
    </row>
    <row r="296" spans="1:16" x14ac:dyDescent="0.25">
      <c r="A296" s="7">
        <v>148</v>
      </c>
      <c r="B296" s="7" t="s">
        <v>285</v>
      </c>
      <c r="C296" s="8">
        <v>46068</v>
      </c>
      <c r="D296" s="7" t="s">
        <v>80</v>
      </c>
      <c r="E296" s="7" t="str">
        <f>IFERROR(INDEX(Restaurants!$B$2:$B$6,MATCH(D296,Restaurants!$A$2:$A$6,0)),"")</f>
        <v>Trailhead Burger Co. #104 - Laredo, TX</v>
      </c>
      <c r="F296" s="7" t="s">
        <v>58</v>
      </c>
      <c r="G296" s="7" t="str">
        <f>IFERROR(INDEX(Chart_of_Accounts!$B$2:$B$18,MATCH(F296,Chart_of_Accounts!$A$2:$A$18,0)),"")</f>
        <v>Labor</v>
      </c>
      <c r="H296" s="7" t="str">
        <f>IFERROR(INDEX(Chart_of_Accounts!$C$2:$C$18,MATCH(F296,Chart_of_Accounts!$A$2:$A$18,0)),"")</f>
        <v>Expense</v>
      </c>
      <c r="I296" s="9">
        <v>27501.24</v>
      </c>
      <c r="J296" s="9"/>
      <c r="K296" s="7" t="s">
        <v>151</v>
      </c>
      <c r="L296" s="7" t="s">
        <v>32</v>
      </c>
      <c r="M296" s="7" t="s">
        <v>114</v>
      </c>
      <c r="N296" s="7"/>
      <c r="O296" s="7"/>
      <c r="P296" s="7" t="s">
        <v>152</v>
      </c>
    </row>
    <row r="297" spans="1:16" x14ac:dyDescent="0.25">
      <c r="A297" s="7">
        <v>148</v>
      </c>
      <c r="B297" s="7" t="s">
        <v>285</v>
      </c>
      <c r="C297" s="8">
        <v>46068</v>
      </c>
      <c r="D297" s="7" t="s">
        <v>80</v>
      </c>
      <c r="E297" s="7" t="str">
        <f>IFERROR(INDEX(Restaurants!$B$2:$B$6,MATCH(D297,Restaurants!$A$2:$A$6,0)),"")</f>
        <v>Trailhead Burger Co. #104 - Laredo, TX</v>
      </c>
      <c r="F297" s="7" t="s">
        <v>31</v>
      </c>
      <c r="G297" s="7" t="str">
        <f>IFERROR(INDEX(Chart_of_Accounts!$B$2:$B$18,MATCH(F297,Chart_of_Accounts!$A$2:$A$18,0)),"")</f>
        <v>Cash</v>
      </c>
      <c r="H297" s="7" t="str">
        <f>IFERROR(INDEX(Chart_of_Accounts!$C$2:$C$18,MATCH(F297,Chart_of_Accounts!$A$2:$A$18,0)),"")</f>
        <v>Asset</v>
      </c>
      <c r="I297" s="9"/>
      <c r="J297" s="9">
        <v>27501.24</v>
      </c>
      <c r="K297" s="7" t="s">
        <v>151</v>
      </c>
      <c r="L297" s="7" t="s">
        <v>32</v>
      </c>
      <c r="M297" s="7" t="s">
        <v>114</v>
      </c>
      <c r="N297" s="7"/>
      <c r="O297" s="7"/>
      <c r="P297" s="7" t="s">
        <v>152</v>
      </c>
    </row>
    <row r="298" spans="1:16" x14ac:dyDescent="0.25">
      <c r="A298" s="7">
        <v>149</v>
      </c>
      <c r="B298" s="7" t="s">
        <v>286</v>
      </c>
      <c r="C298" s="8">
        <v>46054</v>
      </c>
      <c r="D298" s="7" t="s">
        <v>80</v>
      </c>
      <c r="E298" s="7" t="str">
        <f>IFERROR(INDEX(Restaurants!$B$2:$B$6,MATCH(D298,Restaurants!$A$2:$A$6,0)),"")</f>
        <v>Trailhead Burger Co. #104 - Laredo, TX</v>
      </c>
      <c r="F298" s="7" t="s">
        <v>60</v>
      </c>
      <c r="G298" s="7" t="str">
        <f>IFERROR(INDEX(Chart_of_Accounts!$B$2:$B$18,MATCH(F298,Chart_of_Accounts!$A$2:$A$18,0)),"")</f>
        <v>Rent</v>
      </c>
      <c r="H298" s="7" t="str">
        <f>IFERROR(INDEX(Chart_of_Accounts!$C$2:$C$18,MATCH(F298,Chart_of_Accounts!$A$2:$A$18,0)),"")</f>
        <v>Expense</v>
      </c>
      <c r="I298" s="9">
        <v>8000</v>
      </c>
      <c r="J298" s="9"/>
      <c r="K298" s="7" t="s">
        <v>154</v>
      </c>
      <c r="L298" s="7" t="s">
        <v>32</v>
      </c>
      <c r="M298" s="7" t="s">
        <v>114</v>
      </c>
      <c r="N298" s="7" t="s">
        <v>98</v>
      </c>
      <c r="O298" s="7" t="str">
        <f>IFERROR(INDEX(Vendors!$B$2:$B$10,MATCH(N298,Vendors!$A$2:$A$10,0)),"")</f>
        <v>Prime Property Management</v>
      </c>
      <c r="P298" s="7" t="s">
        <v>115</v>
      </c>
    </row>
    <row r="299" spans="1:16" x14ac:dyDescent="0.25">
      <c r="A299" s="7">
        <v>149</v>
      </c>
      <c r="B299" s="7" t="s">
        <v>286</v>
      </c>
      <c r="C299" s="8">
        <v>46054</v>
      </c>
      <c r="D299" s="7" t="s">
        <v>80</v>
      </c>
      <c r="E299" s="7" t="str">
        <f>IFERROR(INDEX(Restaurants!$B$2:$B$6,MATCH(D299,Restaurants!$A$2:$A$6,0)),"")</f>
        <v>Trailhead Burger Co. #104 - Laredo, TX</v>
      </c>
      <c r="F299" s="7" t="s">
        <v>31</v>
      </c>
      <c r="G299" s="7" t="str">
        <f>IFERROR(INDEX(Chart_of_Accounts!$B$2:$B$18,MATCH(F299,Chart_of_Accounts!$A$2:$A$18,0)),"")</f>
        <v>Cash</v>
      </c>
      <c r="H299" s="7" t="str">
        <f>IFERROR(INDEX(Chart_of_Accounts!$C$2:$C$18,MATCH(F299,Chart_of_Accounts!$A$2:$A$18,0)),"")</f>
        <v>Asset</v>
      </c>
      <c r="I299" s="9"/>
      <c r="J299" s="9">
        <v>8000</v>
      </c>
      <c r="K299" s="7" t="s">
        <v>154</v>
      </c>
      <c r="L299" s="7" t="s">
        <v>32</v>
      </c>
      <c r="M299" s="7" t="s">
        <v>114</v>
      </c>
      <c r="N299" s="7" t="s">
        <v>98</v>
      </c>
      <c r="O299" s="7" t="str">
        <f>IFERROR(INDEX(Vendors!$B$2:$B$10,MATCH(N299,Vendors!$A$2:$A$10,0)),"")</f>
        <v>Prime Property Management</v>
      </c>
      <c r="P299" s="7" t="s">
        <v>115</v>
      </c>
    </row>
    <row r="300" spans="1:16" x14ac:dyDescent="0.25">
      <c r="A300" s="7">
        <v>150</v>
      </c>
      <c r="B300" s="7" t="s">
        <v>287</v>
      </c>
      <c r="C300" s="8">
        <v>46073</v>
      </c>
      <c r="D300" s="7" t="s">
        <v>80</v>
      </c>
      <c r="E300" s="7" t="str">
        <f>IFERROR(INDEX(Restaurants!$B$2:$B$6,MATCH(D300,Restaurants!$A$2:$A$6,0)),"")</f>
        <v>Trailhead Burger Co. #104 - Laredo, TX</v>
      </c>
      <c r="F300" s="7" t="s">
        <v>62</v>
      </c>
      <c r="G300" s="7" t="str">
        <f>IFERROR(INDEX(Chart_of_Accounts!$B$2:$B$18,MATCH(F300,Chart_of_Accounts!$A$2:$A$18,0)),"")</f>
        <v>Utilities</v>
      </c>
      <c r="H300" s="7" t="str">
        <f>IFERROR(INDEX(Chart_of_Accounts!$C$2:$C$18,MATCH(F300,Chart_of_Accounts!$A$2:$A$18,0)),"")</f>
        <v>Expense</v>
      </c>
      <c r="I300" s="9">
        <v>2266</v>
      </c>
      <c r="J300" s="9"/>
      <c r="K300" s="7" t="s">
        <v>156</v>
      </c>
      <c r="L300" s="7" t="s">
        <v>32</v>
      </c>
      <c r="M300" s="7" t="s">
        <v>114</v>
      </c>
      <c r="N300" s="7" t="s">
        <v>96</v>
      </c>
      <c r="O300" s="7" t="str">
        <f>IFERROR(INDEX(Vendors!$B$2:$B$10,MATCH(N300,Vendors!$A$2:$A$10,0)),"")</f>
        <v>CityWide Utilities</v>
      </c>
      <c r="P300" s="7" t="s">
        <v>157</v>
      </c>
    </row>
    <row r="301" spans="1:16" x14ac:dyDescent="0.25">
      <c r="A301" s="7">
        <v>150</v>
      </c>
      <c r="B301" s="7" t="s">
        <v>287</v>
      </c>
      <c r="C301" s="8">
        <v>46073</v>
      </c>
      <c r="D301" s="7" t="s">
        <v>80</v>
      </c>
      <c r="E301" s="7" t="str">
        <f>IFERROR(INDEX(Restaurants!$B$2:$B$6,MATCH(D301,Restaurants!$A$2:$A$6,0)),"")</f>
        <v>Trailhead Burger Co. #104 - Laredo, TX</v>
      </c>
      <c r="F301" s="7" t="s">
        <v>31</v>
      </c>
      <c r="G301" s="7" t="str">
        <f>IFERROR(INDEX(Chart_of_Accounts!$B$2:$B$18,MATCH(F301,Chart_of_Accounts!$A$2:$A$18,0)),"")</f>
        <v>Cash</v>
      </c>
      <c r="H301" s="7" t="str">
        <f>IFERROR(INDEX(Chart_of_Accounts!$C$2:$C$18,MATCH(F301,Chart_of_Accounts!$A$2:$A$18,0)),"")</f>
        <v>Asset</v>
      </c>
      <c r="I301" s="9"/>
      <c r="J301" s="9">
        <v>2266</v>
      </c>
      <c r="K301" s="7" t="s">
        <v>156</v>
      </c>
      <c r="L301" s="7" t="s">
        <v>32</v>
      </c>
      <c r="M301" s="7" t="s">
        <v>114</v>
      </c>
      <c r="N301" s="7" t="s">
        <v>96</v>
      </c>
      <c r="O301" s="7" t="str">
        <f>IFERROR(INDEX(Vendors!$B$2:$B$10,MATCH(N301,Vendors!$A$2:$A$10,0)),"")</f>
        <v>CityWide Utilities</v>
      </c>
      <c r="P301" s="7" t="s">
        <v>157</v>
      </c>
    </row>
    <row r="302" spans="1:16" x14ac:dyDescent="0.25">
      <c r="A302" s="7">
        <v>151</v>
      </c>
      <c r="B302" s="7" t="s">
        <v>288</v>
      </c>
      <c r="C302" s="8">
        <v>46081</v>
      </c>
      <c r="D302" s="7" t="s">
        <v>80</v>
      </c>
      <c r="E302" s="7" t="str">
        <f>IFERROR(INDEX(Restaurants!$B$2:$B$6,MATCH(D302,Restaurants!$A$2:$A$6,0)),"")</f>
        <v>Trailhead Burger Co. #104 - Laredo, TX</v>
      </c>
      <c r="F302" s="7" t="s">
        <v>66</v>
      </c>
      <c r="G302" s="7" t="str">
        <f>IFERROR(INDEX(Chart_of_Accounts!$B$2:$B$18,MATCH(F302,Chart_of_Accounts!$A$2:$A$18,0)),"")</f>
        <v>CC Processing Fees</v>
      </c>
      <c r="H302" s="7" t="str">
        <f>IFERROR(INDEX(Chart_of_Accounts!$C$2:$C$18,MATCH(F302,Chart_of_Accounts!$A$2:$A$18,0)),"")</f>
        <v>Expense</v>
      </c>
      <c r="I302" s="9">
        <v>2644.35</v>
      </c>
      <c r="J302" s="9"/>
      <c r="K302" s="7" t="s">
        <v>159</v>
      </c>
      <c r="L302" s="7" t="s">
        <v>32</v>
      </c>
      <c r="M302" s="7" t="s">
        <v>114</v>
      </c>
      <c r="N302" s="7"/>
      <c r="O302" s="7"/>
      <c r="P302" s="7" t="s">
        <v>115</v>
      </c>
    </row>
    <row r="303" spans="1:16" x14ac:dyDescent="0.25">
      <c r="A303" s="7">
        <v>151</v>
      </c>
      <c r="B303" s="7" t="s">
        <v>288</v>
      </c>
      <c r="C303" s="8">
        <v>46081</v>
      </c>
      <c r="D303" s="7" t="s">
        <v>80</v>
      </c>
      <c r="E303" s="7" t="str">
        <f>IFERROR(INDEX(Restaurants!$B$2:$B$6,MATCH(D303,Restaurants!$A$2:$A$6,0)),"")</f>
        <v>Trailhead Burger Co. #104 - Laredo, TX</v>
      </c>
      <c r="F303" s="7" t="s">
        <v>31</v>
      </c>
      <c r="G303" s="7" t="str">
        <f>IFERROR(INDEX(Chart_of_Accounts!$B$2:$B$18,MATCH(F303,Chart_of_Accounts!$A$2:$A$18,0)),"")</f>
        <v>Cash</v>
      </c>
      <c r="H303" s="7" t="str">
        <f>IFERROR(INDEX(Chart_of_Accounts!$C$2:$C$18,MATCH(F303,Chart_of_Accounts!$A$2:$A$18,0)),"")</f>
        <v>Asset</v>
      </c>
      <c r="I303" s="9"/>
      <c r="J303" s="9">
        <v>2644.35</v>
      </c>
      <c r="K303" s="7" t="s">
        <v>159</v>
      </c>
      <c r="L303" s="7" t="s">
        <v>32</v>
      </c>
      <c r="M303" s="7" t="s">
        <v>114</v>
      </c>
      <c r="N303" s="7"/>
      <c r="O303" s="7"/>
      <c r="P303" s="7" t="s">
        <v>115</v>
      </c>
    </row>
    <row r="304" spans="1:16" x14ac:dyDescent="0.25">
      <c r="A304" s="7">
        <v>152</v>
      </c>
      <c r="B304" s="7" t="s">
        <v>289</v>
      </c>
      <c r="C304" s="8">
        <v>46065</v>
      </c>
      <c r="D304" s="7" t="s">
        <v>80</v>
      </c>
      <c r="E304" s="7" t="str">
        <f>IFERROR(INDEX(Restaurants!$B$2:$B$6,MATCH(D304,Restaurants!$A$2:$A$6,0)),"")</f>
        <v>Trailhead Burger Co. #104 - Laredo, TX</v>
      </c>
      <c r="F304" s="7" t="s">
        <v>68</v>
      </c>
      <c r="G304" s="7" t="str">
        <f>IFERROR(INDEX(Chart_of_Accounts!$B$2:$B$18,MATCH(F304,Chart_of_Accounts!$A$2:$A$18,0)),"")</f>
        <v>Marketing</v>
      </c>
      <c r="H304" s="7" t="str">
        <f>IFERROR(INDEX(Chart_of_Accounts!$C$2:$C$18,MATCH(F304,Chart_of_Accounts!$A$2:$A$18,0)),"")</f>
        <v>Expense</v>
      </c>
      <c r="I304" s="9">
        <v>3173.22</v>
      </c>
      <c r="J304" s="9"/>
      <c r="K304" s="7" t="s">
        <v>161</v>
      </c>
      <c r="L304" s="7" t="s">
        <v>32</v>
      </c>
      <c r="M304" s="7" t="s">
        <v>114</v>
      </c>
      <c r="N304" s="7" t="s">
        <v>100</v>
      </c>
      <c r="O304" s="7" t="str">
        <f>IFERROR(INDEX(Vendors!$B$2:$B$10,MATCH(N304,Vendors!$A$2:$A$10,0)),"")</f>
        <v>BrightSign Marketing Agency</v>
      </c>
      <c r="P304" s="7" t="s">
        <v>69</v>
      </c>
    </row>
    <row r="305" spans="1:16" x14ac:dyDescent="0.25">
      <c r="A305" s="7">
        <v>152</v>
      </c>
      <c r="B305" s="7" t="s">
        <v>289</v>
      </c>
      <c r="C305" s="8">
        <v>46065</v>
      </c>
      <c r="D305" s="7" t="s">
        <v>80</v>
      </c>
      <c r="E305" s="7" t="str">
        <f>IFERROR(INDEX(Restaurants!$B$2:$B$6,MATCH(D305,Restaurants!$A$2:$A$6,0)),"")</f>
        <v>Trailhead Burger Co. #104 - Laredo, TX</v>
      </c>
      <c r="F305" s="7" t="s">
        <v>31</v>
      </c>
      <c r="G305" s="7" t="str">
        <f>IFERROR(INDEX(Chart_of_Accounts!$B$2:$B$18,MATCH(F305,Chart_of_Accounts!$A$2:$A$18,0)),"")</f>
        <v>Cash</v>
      </c>
      <c r="H305" s="7" t="str">
        <f>IFERROR(INDEX(Chart_of_Accounts!$C$2:$C$18,MATCH(F305,Chart_of_Accounts!$A$2:$A$18,0)),"")</f>
        <v>Asset</v>
      </c>
      <c r="I305" s="9"/>
      <c r="J305" s="9">
        <v>3173.22</v>
      </c>
      <c r="K305" s="7" t="s">
        <v>161</v>
      </c>
      <c r="L305" s="7" t="s">
        <v>32</v>
      </c>
      <c r="M305" s="7" t="s">
        <v>114</v>
      </c>
      <c r="N305" s="7" t="s">
        <v>100</v>
      </c>
      <c r="O305" s="7" t="str">
        <f>IFERROR(INDEX(Vendors!$B$2:$B$10,MATCH(N305,Vendors!$A$2:$A$10,0)),"")</f>
        <v>BrightSign Marketing Agency</v>
      </c>
      <c r="P305" s="7" t="s">
        <v>69</v>
      </c>
    </row>
    <row r="306" spans="1:16" x14ac:dyDescent="0.25">
      <c r="A306" s="7">
        <v>153</v>
      </c>
      <c r="B306" s="7" t="s">
        <v>290</v>
      </c>
      <c r="C306" s="8">
        <v>46081</v>
      </c>
      <c r="D306" s="7" t="s">
        <v>80</v>
      </c>
      <c r="E306" s="7" t="str">
        <f>IFERROR(INDEX(Restaurants!$B$2:$B$6,MATCH(D306,Restaurants!$A$2:$A$6,0)),"")</f>
        <v>Trailhead Burger Co. #104 - Laredo, TX</v>
      </c>
      <c r="F306" s="7" t="s">
        <v>70</v>
      </c>
      <c r="G306" s="7" t="str">
        <f>IFERROR(INDEX(Chart_of_Accounts!$B$2:$B$18,MATCH(F306,Chart_of_Accounts!$A$2:$A$18,0)),"")</f>
        <v>Franchise Fees</v>
      </c>
      <c r="H306" s="7" t="str">
        <f>IFERROR(INDEX(Chart_of_Accounts!$C$2:$C$18,MATCH(F306,Chart_of_Accounts!$A$2:$A$18,0)),"")</f>
        <v>Expense</v>
      </c>
      <c r="I306" s="9">
        <v>4230.96</v>
      </c>
      <c r="J306" s="9"/>
      <c r="K306" s="7" t="s">
        <v>163</v>
      </c>
      <c r="L306" s="7" t="s">
        <v>32</v>
      </c>
      <c r="M306" s="7" t="s">
        <v>114</v>
      </c>
      <c r="N306" s="7" t="s">
        <v>102</v>
      </c>
      <c r="O306" s="7" t="str">
        <f>IFERROR(INDEX(Vendors!$B$2:$B$10,MATCH(N306,Vendors!$A$2:$A$10,0)),"")</f>
        <v>Trailhead Burger Co. - Corporate</v>
      </c>
      <c r="P306" s="7" t="s">
        <v>115</v>
      </c>
    </row>
    <row r="307" spans="1:16" x14ac:dyDescent="0.25">
      <c r="A307" s="7">
        <v>153</v>
      </c>
      <c r="B307" s="7" t="s">
        <v>290</v>
      </c>
      <c r="C307" s="8">
        <v>46081</v>
      </c>
      <c r="D307" s="7" t="s">
        <v>80</v>
      </c>
      <c r="E307" s="7" t="str">
        <f>IFERROR(INDEX(Restaurants!$B$2:$B$6,MATCH(D307,Restaurants!$A$2:$A$6,0)),"")</f>
        <v>Trailhead Burger Co. #104 - Laredo, TX</v>
      </c>
      <c r="F307" s="7" t="s">
        <v>31</v>
      </c>
      <c r="G307" s="7" t="str">
        <f>IFERROR(INDEX(Chart_of_Accounts!$B$2:$B$18,MATCH(F307,Chart_of_Accounts!$A$2:$A$18,0)),"")</f>
        <v>Cash</v>
      </c>
      <c r="H307" s="7" t="str">
        <f>IFERROR(INDEX(Chart_of_Accounts!$C$2:$C$18,MATCH(F307,Chart_of_Accounts!$A$2:$A$18,0)),"")</f>
        <v>Asset</v>
      </c>
      <c r="I307" s="9"/>
      <c r="J307" s="9">
        <v>4230.96</v>
      </c>
      <c r="K307" s="7" t="s">
        <v>163</v>
      </c>
      <c r="L307" s="7" t="s">
        <v>32</v>
      </c>
      <c r="M307" s="7" t="s">
        <v>114</v>
      </c>
      <c r="N307" s="7" t="s">
        <v>102</v>
      </c>
      <c r="O307" s="7" t="str">
        <f>IFERROR(INDEX(Vendors!$B$2:$B$10,MATCH(N307,Vendors!$A$2:$A$10,0)),"")</f>
        <v>Trailhead Burger Co. - Corporate</v>
      </c>
      <c r="P307" s="7" t="s">
        <v>115</v>
      </c>
    </row>
    <row r="308" spans="1:16" x14ac:dyDescent="0.25">
      <c r="A308" s="7">
        <v>154</v>
      </c>
      <c r="B308" s="7" t="s">
        <v>291</v>
      </c>
      <c r="C308" s="8">
        <v>46071</v>
      </c>
      <c r="D308" s="7" t="s">
        <v>80</v>
      </c>
      <c r="E308" s="7" t="str">
        <f>IFERROR(INDEX(Restaurants!$B$2:$B$6,MATCH(D308,Restaurants!$A$2:$A$6,0)),"")</f>
        <v>Trailhead Burger Co. #104 - Laredo, TX</v>
      </c>
      <c r="F308" s="7" t="s">
        <v>41</v>
      </c>
      <c r="G308" s="7" t="str">
        <f>IFERROR(INDEX(Chart_of_Accounts!$B$2:$B$18,MATCH(F308,Chart_of_Accounts!$A$2:$A$18,0)),"")</f>
        <v>Accounts Payable</v>
      </c>
      <c r="H308" s="7" t="str">
        <f>IFERROR(INDEX(Chart_of_Accounts!$C$2:$C$18,MATCH(F308,Chart_of_Accounts!$A$2:$A$18,0)),"")</f>
        <v>Liability</v>
      </c>
      <c r="I308" s="9">
        <v>28558.98</v>
      </c>
      <c r="J308" s="9"/>
      <c r="K308" s="7" t="s">
        <v>177</v>
      </c>
      <c r="L308" s="7" t="s">
        <v>32</v>
      </c>
      <c r="M308" s="7" t="s">
        <v>114</v>
      </c>
      <c r="N308" s="7" t="s">
        <v>88</v>
      </c>
      <c r="O308" s="7" t="str">
        <f>IFERROR(INDEX(Vendors!$B$2:$B$10,MATCH(N308,Vendors!$A$2:$A$10,0)),"")</f>
        <v>Fresh Produce Partners</v>
      </c>
      <c r="P308" s="7" t="s">
        <v>115</v>
      </c>
    </row>
    <row r="309" spans="1:16" x14ac:dyDescent="0.25">
      <c r="A309" s="7">
        <v>154</v>
      </c>
      <c r="B309" s="7" t="s">
        <v>291</v>
      </c>
      <c r="C309" s="8">
        <v>46071</v>
      </c>
      <c r="D309" s="7" t="s">
        <v>80</v>
      </c>
      <c r="E309" s="7" t="str">
        <f>IFERROR(INDEX(Restaurants!$B$2:$B$6,MATCH(D309,Restaurants!$A$2:$A$6,0)),"")</f>
        <v>Trailhead Burger Co. #104 - Laredo, TX</v>
      </c>
      <c r="F309" s="7" t="s">
        <v>31</v>
      </c>
      <c r="G309" s="7" t="str">
        <f>IFERROR(INDEX(Chart_of_Accounts!$B$2:$B$18,MATCH(F309,Chart_of_Accounts!$A$2:$A$18,0)),"")</f>
        <v>Cash</v>
      </c>
      <c r="H309" s="7" t="str">
        <f>IFERROR(INDEX(Chart_of_Accounts!$C$2:$C$18,MATCH(F309,Chart_of_Accounts!$A$2:$A$18,0)),"")</f>
        <v>Asset</v>
      </c>
      <c r="I309" s="9"/>
      <c r="J309" s="9">
        <v>28558.98</v>
      </c>
      <c r="K309" s="7" t="s">
        <v>177</v>
      </c>
      <c r="L309" s="7" t="s">
        <v>32</v>
      </c>
      <c r="M309" s="7" t="s">
        <v>114</v>
      </c>
      <c r="N309" s="7" t="s">
        <v>88</v>
      </c>
      <c r="O309" s="7" t="str">
        <f>IFERROR(INDEX(Vendors!$B$2:$B$10,MATCH(N309,Vendors!$A$2:$A$10,0)),"")</f>
        <v>Fresh Produce Partners</v>
      </c>
      <c r="P309" s="7" t="s">
        <v>115</v>
      </c>
    </row>
    <row r="310" spans="1:16" x14ac:dyDescent="0.25">
      <c r="A310" s="7">
        <v>155</v>
      </c>
      <c r="B310" s="7" t="s">
        <v>292</v>
      </c>
      <c r="C310" s="8">
        <v>46086</v>
      </c>
      <c r="D310" s="7" t="s">
        <v>80</v>
      </c>
      <c r="E310" s="7" t="str">
        <f>IFERROR(INDEX(Restaurants!$B$2:$B$6,MATCH(D310,Restaurants!$A$2:$A$6,0)),"")</f>
        <v>Trailhead Burger Co. #104 - Laredo, TX</v>
      </c>
      <c r="F310" s="7" t="s">
        <v>31</v>
      </c>
      <c r="G310" s="7" t="str">
        <f>IFERROR(INDEX(Chart_of_Accounts!$B$2:$B$18,MATCH(F310,Chart_of_Accounts!$A$2:$A$18,0)),"")</f>
        <v>Cash</v>
      </c>
      <c r="H310" s="7" t="str">
        <f>IFERROR(INDEX(Chart_of_Accounts!$C$2:$C$18,MATCH(F310,Chart_of_Accounts!$A$2:$A$18,0)),"")</f>
        <v>Asset</v>
      </c>
      <c r="I310" s="9">
        <v>88400</v>
      </c>
      <c r="J310" s="9"/>
      <c r="K310" s="7" t="s">
        <v>134</v>
      </c>
      <c r="L310" s="7" t="s">
        <v>32</v>
      </c>
      <c r="M310" s="7" t="s">
        <v>135</v>
      </c>
      <c r="N310" s="7"/>
      <c r="O310" s="7"/>
      <c r="P310" s="7" t="s">
        <v>136</v>
      </c>
    </row>
    <row r="311" spans="1:16" x14ac:dyDescent="0.25">
      <c r="A311" s="7">
        <v>155</v>
      </c>
      <c r="B311" s="7" t="s">
        <v>292</v>
      </c>
      <c r="C311" s="8">
        <v>46086</v>
      </c>
      <c r="D311" s="7" t="s">
        <v>80</v>
      </c>
      <c r="E311" s="7" t="str">
        <f>IFERROR(INDEX(Restaurants!$B$2:$B$6,MATCH(D311,Restaurants!$A$2:$A$6,0)),"")</f>
        <v>Trailhead Burger Co. #104 - Laredo, TX</v>
      </c>
      <c r="F311" s="7" t="s">
        <v>50</v>
      </c>
      <c r="G311" s="7" t="str">
        <f>IFERROR(INDEX(Chart_of_Accounts!$B$2:$B$18,MATCH(F311,Chart_of_Accounts!$A$2:$A$18,0)),"")</f>
        <v>Restaurant Sales</v>
      </c>
      <c r="H311" s="7" t="str">
        <f>IFERROR(INDEX(Chart_of_Accounts!$C$2:$C$18,MATCH(F311,Chart_of_Accounts!$A$2:$A$18,0)),"")</f>
        <v>Revenue</v>
      </c>
      <c r="I311" s="9"/>
      <c r="J311" s="9">
        <v>88400</v>
      </c>
      <c r="K311" s="7" t="s">
        <v>134</v>
      </c>
      <c r="L311" s="7" t="s">
        <v>32</v>
      </c>
      <c r="M311" s="7" t="s">
        <v>135</v>
      </c>
      <c r="N311" s="7"/>
      <c r="O311" s="7"/>
      <c r="P311" s="7" t="s">
        <v>136</v>
      </c>
    </row>
    <row r="312" spans="1:16" x14ac:dyDescent="0.25">
      <c r="A312" s="7">
        <v>156</v>
      </c>
      <c r="B312" s="7" t="s">
        <v>293</v>
      </c>
      <c r="C312" s="8">
        <v>46088</v>
      </c>
      <c r="D312" s="7" t="s">
        <v>80</v>
      </c>
      <c r="E312" s="7" t="str">
        <f>IFERROR(INDEX(Restaurants!$B$2:$B$6,MATCH(D312,Restaurants!$A$2:$A$6,0)),"")</f>
        <v>Trailhead Burger Co. #104 - Laredo, TX</v>
      </c>
      <c r="F312" s="7" t="s">
        <v>35</v>
      </c>
      <c r="G312" s="7" t="str">
        <f>IFERROR(INDEX(Chart_of_Accounts!$B$2:$B$18,MATCH(F312,Chart_of_Accounts!$A$2:$A$18,0)),"")</f>
        <v>Accounts Receivable</v>
      </c>
      <c r="H312" s="7" t="str">
        <f>IFERROR(INDEX(Chart_of_Accounts!$C$2:$C$18,MATCH(F312,Chart_of_Accounts!$A$2:$A$18,0)),"")</f>
        <v>Asset</v>
      </c>
      <c r="I312" s="9">
        <v>19448</v>
      </c>
      <c r="J312" s="9"/>
      <c r="K312" s="7" t="s">
        <v>138</v>
      </c>
      <c r="L312" s="7" t="s">
        <v>139</v>
      </c>
      <c r="M312" s="7" t="s">
        <v>140</v>
      </c>
      <c r="N312" s="7" t="s">
        <v>94</v>
      </c>
      <c r="O312" s="7" t="str">
        <f>IFERROR(INDEX(Vendors!$B$2:$B$10,MATCH(N312,Vendors!$A$2:$A$10,0)),"")</f>
        <v>QuickDash Delivery Platform</v>
      </c>
      <c r="P312" s="7" t="s">
        <v>136</v>
      </c>
    </row>
    <row r="313" spans="1:16" x14ac:dyDescent="0.25">
      <c r="A313" s="7">
        <v>156</v>
      </c>
      <c r="B313" s="7" t="s">
        <v>293</v>
      </c>
      <c r="C313" s="8">
        <v>46088</v>
      </c>
      <c r="D313" s="7" t="s">
        <v>80</v>
      </c>
      <c r="E313" s="7" t="str">
        <f>IFERROR(INDEX(Restaurants!$B$2:$B$6,MATCH(D313,Restaurants!$A$2:$A$6,0)),"")</f>
        <v>Trailhead Burger Co. #104 - Laredo, TX</v>
      </c>
      <c r="F313" s="7" t="s">
        <v>53</v>
      </c>
      <c r="G313" s="7" t="str">
        <f>IFERROR(INDEX(Chart_of_Accounts!$B$2:$B$18,MATCH(F313,Chart_of_Accounts!$A$2:$A$18,0)),"")</f>
        <v>Delivery Sales</v>
      </c>
      <c r="H313" s="7" t="str">
        <f>IFERROR(INDEX(Chart_of_Accounts!$C$2:$C$18,MATCH(F313,Chart_of_Accounts!$A$2:$A$18,0)),"")</f>
        <v>Revenue</v>
      </c>
      <c r="I313" s="9"/>
      <c r="J313" s="9">
        <v>19448</v>
      </c>
      <c r="K313" s="7" t="s">
        <v>138</v>
      </c>
      <c r="L313" s="7" t="s">
        <v>139</v>
      </c>
      <c r="M313" s="7" t="s">
        <v>140</v>
      </c>
      <c r="N313" s="7" t="s">
        <v>94</v>
      </c>
      <c r="O313" s="7" t="str">
        <f>IFERROR(INDEX(Vendors!$B$2:$B$10,MATCH(N313,Vendors!$A$2:$A$10,0)),"")</f>
        <v>QuickDash Delivery Platform</v>
      </c>
      <c r="P313" s="7" t="s">
        <v>136</v>
      </c>
    </row>
    <row r="314" spans="1:16" x14ac:dyDescent="0.25">
      <c r="A314" s="7">
        <v>157</v>
      </c>
      <c r="B314" s="7" t="s">
        <v>294</v>
      </c>
      <c r="C314" s="8">
        <v>46091</v>
      </c>
      <c r="D314" s="7" t="s">
        <v>80</v>
      </c>
      <c r="E314" s="7" t="str">
        <f>IFERROR(INDEX(Restaurants!$B$2:$B$6,MATCH(D314,Restaurants!$A$2:$A$6,0)),"")</f>
        <v>Trailhead Burger Co. #104 - Laredo, TX</v>
      </c>
      <c r="F314" s="7" t="s">
        <v>31</v>
      </c>
      <c r="G314" s="7" t="str">
        <f>IFERROR(INDEX(Chart_of_Accounts!$B$2:$B$18,MATCH(F314,Chart_of_Accounts!$A$2:$A$18,0)),"")</f>
        <v>Cash</v>
      </c>
      <c r="H314" s="7" t="str">
        <f>IFERROR(INDEX(Chart_of_Accounts!$C$2:$C$18,MATCH(F314,Chart_of_Accounts!$A$2:$A$18,0)),"")</f>
        <v>Asset</v>
      </c>
      <c r="I314" s="9">
        <v>19448</v>
      </c>
      <c r="J314" s="9"/>
      <c r="K314" s="7" t="s">
        <v>142</v>
      </c>
      <c r="L314" s="7" t="s">
        <v>139</v>
      </c>
      <c r="M314" s="7" t="s">
        <v>140</v>
      </c>
      <c r="N314" s="7" t="s">
        <v>94</v>
      </c>
      <c r="O314" s="7" t="str">
        <f>IFERROR(INDEX(Vendors!$B$2:$B$10,MATCH(N314,Vendors!$A$2:$A$10,0)),"")</f>
        <v>QuickDash Delivery Platform</v>
      </c>
      <c r="P314" s="7" t="s">
        <v>136</v>
      </c>
    </row>
    <row r="315" spans="1:16" x14ac:dyDescent="0.25">
      <c r="A315" s="7">
        <v>157</v>
      </c>
      <c r="B315" s="7" t="s">
        <v>294</v>
      </c>
      <c r="C315" s="8">
        <v>46091</v>
      </c>
      <c r="D315" s="7" t="s">
        <v>80</v>
      </c>
      <c r="E315" s="7" t="str">
        <f>IFERROR(INDEX(Restaurants!$B$2:$B$6,MATCH(D315,Restaurants!$A$2:$A$6,0)),"")</f>
        <v>Trailhead Burger Co. #104 - Laredo, TX</v>
      </c>
      <c r="F315" s="7" t="s">
        <v>35</v>
      </c>
      <c r="G315" s="7" t="str">
        <f>IFERROR(INDEX(Chart_of_Accounts!$B$2:$B$18,MATCH(F315,Chart_of_Accounts!$A$2:$A$18,0)),"")</f>
        <v>Accounts Receivable</v>
      </c>
      <c r="H315" s="7" t="str">
        <f>IFERROR(INDEX(Chart_of_Accounts!$C$2:$C$18,MATCH(F315,Chart_of_Accounts!$A$2:$A$18,0)),"")</f>
        <v>Asset</v>
      </c>
      <c r="I315" s="9"/>
      <c r="J315" s="9">
        <v>19448</v>
      </c>
      <c r="K315" s="7" t="s">
        <v>142</v>
      </c>
      <c r="L315" s="7" t="s">
        <v>139</v>
      </c>
      <c r="M315" s="7" t="s">
        <v>140</v>
      </c>
      <c r="N315" s="7" t="s">
        <v>94</v>
      </c>
      <c r="O315" s="7" t="str">
        <f>IFERROR(INDEX(Vendors!$B$2:$B$10,MATCH(N315,Vendors!$A$2:$A$10,0)),"")</f>
        <v>QuickDash Delivery Platform</v>
      </c>
      <c r="P315" s="7" t="s">
        <v>136</v>
      </c>
    </row>
    <row r="316" spans="1:16" x14ac:dyDescent="0.25">
      <c r="A316" s="7">
        <v>158</v>
      </c>
      <c r="B316" s="7" t="s">
        <v>295</v>
      </c>
      <c r="C316" s="8">
        <v>46091</v>
      </c>
      <c r="D316" s="7" t="s">
        <v>80</v>
      </c>
      <c r="E316" s="7" t="str">
        <f>IFERROR(INDEX(Restaurants!$B$2:$B$6,MATCH(D316,Restaurants!$A$2:$A$6,0)),"")</f>
        <v>Trailhead Burger Co. #104 - Laredo, TX</v>
      </c>
      <c r="F316" s="7" t="s">
        <v>64</v>
      </c>
      <c r="G316" s="7" t="str">
        <f>IFERROR(INDEX(Chart_of_Accounts!$B$2:$B$18,MATCH(F316,Chart_of_Accounts!$A$2:$A$18,0)),"")</f>
        <v>Delivery Fees</v>
      </c>
      <c r="H316" s="7" t="str">
        <f>IFERROR(INDEX(Chart_of_Accounts!$C$2:$C$18,MATCH(F316,Chart_of_Accounts!$A$2:$A$18,0)),"")</f>
        <v>Expense</v>
      </c>
      <c r="I316" s="9">
        <v>2917.2</v>
      </c>
      <c r="J316" s="9"/>
      <c r="K316" s="7" t="s">
        <v>144</v>
      </c>
      <c r="L316" s="7" t="s">
        <v>32</v>
      </c>
      <c r="M316" s="7" t="s">
        <v>140</v>
      </c>
      <c r="N316" s="7" t="s">
        <v>94</v>
      </c>
      <c r="O316" s="7" t="str">
        <f>IFERROR(INDEX(Vendors!$B$2:$B$10,MATCH(N316,Vendors!$A$2:$A$10,0)),"")</f>
        <v>QuickDash Delivery Platform</v>
      </c>
      <c r="P316" s="7" t="s">
        <v>136</v>
      </c>
    </row>
    <row r="317" spans="1:16" x14ac:dyDescent="0.25">
      <c r="A317" s="7">
        <v>158</v>
      </c>
      <c r="B317" s="7" t="s">
        <v>295</v>
      </c>
      <c r="C317" s="8">
        <v>46091</v>
      </c>
      <c r="D317" s="7" t="s">
        <v>80</v>
      </c>
      <c r="E317" s="7" t="str">
        <f>IFERROR(INDEX(Restaurants!$B$2:$B$6,MATCH(D317,Restaurants!$A$2:$A$6,0)),"")</f>
        <v>Trailhead Burger Co. #104 - Laredo, TX</v>
      </c>
      <c r="F317" s="7" t="s">
        <v>31</v>
      </c>
      <c r="G317" s="7" t="str">
        <f>IFERROR(INDEX(Chart_of_Accounts!$B$2:$B$18,MATCH(F317,Chart_of_Accounts!$A$2:$A$18,0)),"")</f>
        <v>Cash</v>
      </c>
      <c r="H317" s="7" t="str">
        <f>IFERROR(INDEX(Chart_of_Accounts!$C$2:$C$18,MATCH(F317,Chart_of_Accounts!$A$2:$A$18,0)),"")</f>
        <v>Asset</v>
      </c>
      <c r="I317" s="9"/>
      <c r="J317" s="9">
        <v>2917.2</v>
      </c>
      <c r="K317" s="7" t="s">
        <v>144</v>
      </c>
      <c r="L317" s="7" t="s">
        <v>32</v>
      </c>
      <c r="M317" s="7" t="s">
        <v>140</v>
      </c>
      <c r="N317" s="7" t="s">
        <v>94</v>
      </c>
      <c r="O317" s="7" t="str">
        <f>IFERROR(INDEX(Vendors!$B$2:$B$10,MATCH(N317,Vendors!$A$2:$A$10,0)),"")</f>
        <v>QuickDash Delivery Platform</v>
      </c>
      <c r="P317" s="7" t="s">
        <v>136</v>
      </c>
    </row>
    <row r="318" spans="1:16" x14ac:dyDescent="0.25">
      <c r="A318" s="7">
        <v>159</v>
      </c>
      <c r="B318" s="7" t="s">
        <v>296</v>
      </c>
      <c r="C318" s="8">
        <v>46089</v>
      </c>
      <c r="D318" s="7" t="s">
        <v>80</v>
      </c>
      <c r="E318" s="7" t="str">
        <f>IFERROR(INDEX(Restaurants!$B$2:$B$6,MATCH(D318,Restaurants!$A$2:$A$6,0)),"")</f>
        <v>Trailhead Burger Co. #104 - Laredo, TX</v>
      </c>
      <c r="F318" s="7" t="s">
        <v>37</v>
      </c>
      <c r="G318" s="7" t="str">
        <f>IFERROR(INDEX(Chart_of_Accounts!$B$2:$B$18,MATCH(F318,Chart_of_Accounts!$A$2:$A$18,0)),"")</f>
        <v>Inventory</v>
      </c>
      <c r="H318" s="7" t="str">
        <f>IFERROR(INDEX(Chart_of_Accounts!$C$2:$C$18,MATCH(F318,Chart_of_Accounts!$A$2:$A$18,0)),"")</f>
        <v>Asset</v>
      </c>
      <c r="I318" s="9">
        <v>47560.97</v>
      </c>
      <c r="J318" s="9"/>
      <c r="K318" s="7" t="s">
        <v>146</v>
      </c>
      <c r="L318" s="7" t="s">
        <v>113</v>
      </c>
      <c r="M318" s="7" t="s">
        <v>114</v>
      </c>
      <c r="N318" s="7" t="s">
        <v>86</v>
      </c>
      <c r="O318" s="7" t="str">
        <f>IFERROR(INDEX(Vendors!$B$2:$B$10,MATCH(N318,Vendors!$A$2:$A$10,0)),"")</f>
        <v>Gulf Coast Meat Supply</v>
      </c>
      <c r="P318" s="7" t="s">
        <v>147</v>
      </c>
    </row>
    <row r="319" spans="1:16" x14ac:dyDescent="0.25">
      <c r="A319" s="7">
        <v>159</v>
      </c>
      <c r="B319" s="7" t="s">
        <v>296</v>
      </c>
      <c r="C319" s="8">
        <v>46089</v>
      </c>
      <c r="D319" s="7" t="s">
        <v>80</v>
      </c>
      <c r="E319" s="7" t="str">
        <f>IFERROR(INDEX(Restaurants!$B$2:$B$6,MATCH(D319,Restaurants!$A$2:$A$6,0)),"")</f>
        <v>Trailhead Burger Co. #104 - Laredo, TX</v>
      </c>
      <c r="F319" s="7" t="s">
        <v>41</v>
      </c>
      <c r="G319" s="7" t="str">
        <f>IFERROR(INDEX(Chart_of_Accounts!$B$2:$B$18,MATCH(F319,Chart_of_Accounts!$A$2:$A$18,0)),"")</f>
        <v>Accounts Payable</v>
      </c>
      <c r="H319" s="7" t="str">
        <f>IFERROR(INDEX(Chart_of_Accounts!$C$2:$C$18,MATCH(F319,Chart_of_Accounts!$A$2:$A$18,0)),"")</f>
        <v>Liability</v>
      </c>
      <c r="I319" s="9"/>
      <c r="J319" s="9">
        <v>47560.97</v>
      </c>
      <c r="K319" s="7" t="s">
        <v>146</v>
      </c>
      <c r="L319" s="7" t="s">
        <v>113</v>
      </c>
      <c r="M319" s="7" t="s">
        <v>114</v>
      </c>
      <c r="N319" s="7" t="s">
        <v>86</v>
      </c>
      <c r="O319" s="7" t="str">
        <f>IFERROR(INDEX(Vendors!$B$2:$B$10,MATCH(N319,Vendors!$A$2:$A$10,0)),"")</f>
        <v>Gulf Coast Meat Supply</v>
      </c>
      <c r="P319" s="7" t="s">
        <v>147</v>
      </c>
    </row>
    <row r="320" spans="1:16" x14ac:dyDescent="0.25">
      <c r="A320" s="7">
        <v>160</v>
      </c>
      <c r="B320" s="7" t="s">
        <v>297</v>
      </c>
      <c r="C320" s="8">
        <v>46109</v>
      </c>
      <c r="D320" s="7" t="s">
        <v>80</v>
      </c>
      <c r="E320" s="7" t="str">
        <f>IFERROR(INDEX(Restaurants!$B$2:$B$6,MATCH(D320,Restaurants!$A$2:$A$6,0)),"")</f>
        <v>Trailhead Burger Co. #104 - Laredo, TX</v>
      </c>
      <c r="F320" s="7" t="s">
        <v>55</v>
      </c>
      <c r="G320" s="7" t="str">
        <f>IFERROR(INDEX(Chart_of_Accounts!$B$2:$B$18,MATCH(F320,Chart_of_Accounts!$A$2:$A$18,0)),"")</f>
        <v>Food Cost</v>
      </c>
      <c r="H320" s="7" t="str">
        <f>IFERROR(INDEX(Chart_of_Accounts!$C$2:$C$18,MATCH(F320,Chart_of_Accounts!$A$2:$A$18,0)),"")</f>
        <v>Expense</v>
      </c>
      <c r="I320" s="9">
        <v>45296.160000000003</v>
      </c>
      <c r="J320" s="9"/>
      <c r="K320" s="7" t="s">
        <v>149</v>
      </c>
      <c r="L320" s="7" t="s">
        <v>113</v>
      </c>
      <c r="M320" s="7" t="s">
        <v>114</v>
      </c>
      <c r="N320" s="7" t="s">
        <v>86</v>
      </c>
      <c r="O320" s="7" t="str">
        <f>IFERROR(INDEX(Vendors!$B$2:$B$10,MATCH(N320,Vendors!$A$2:$A$10,0)),"")</f>
        <v>Gulf Coast Meat Supply</v>
      </c>
      <c r="P320" s="7" t="s">
        <v>136</v>
      </c>
    </row>
    <row r="321" spans="1:16" x14ac:dyDescent="0.25">
      <c r="A321" s="7">
        <v>160</v>
      </c>
      <c r="B321" s="7" t="s">
        <v>297</v>
      </c>
      <c r="C321" s="8">
        <v>46109</v>
      </c>
      <c r="D321" s="7" t="s">
        <v>80</v>
      </c>
      <c r="E321" s="7" t="str">
        <f>IFERROR(INDEX(Restaurants!$B$2:$B$6,MATCH(D321,Restaurants!$A$2:$A$6,0)),"")</f>
        <v>Trailhead Burger Co. #104 - Laredo, TX</v>
      </c>
      <c r="F321" s="7" t="s">
        <v>37</v>
      </c>
      <c r="G321" s="7" t="str">
        <f>IFERROR(INDEX(Chart_of_Accounts!$B$2:$B$18,MATCH(F321,Chart_of_Accounts!$A$2:$A$18,0)),"")</f>
        <v>Inventory</v>
      </c>
      <c r="H321" s="7" t="str">
        <f>IFERROR(INDEX(Chart_of_Accounts!$C$2:$C$18,MATCH(F321,Chart_of_Accounts!$A$2:$A$18,0)),"")</f>
        <v>Asset</v>
      </c>
      <c r="I321" s="9"/>
      <c r="J321" s="9">
        <v>45296.160000000003</v>
      </c>
      <c r="K321" s="7" t="s">
        <v>149</v>
      </c>
      <c r="L321" s="7" t="s">
        <v>113</v>
      </c>
      <c r="M321" s="7" t="s">
        <v>114</v>
      </c>
      <c r="N321" s="7" t="s">
        <v>86</v>
      </c>
      <c r="O321" s="7" t="str">
        <f>IFERROR(INDEX(Vendors!$B$2:$B$10,MATCH(N321,Vendors!$A$2:$A$10,0)),"")</f>
        <v>Gulf Coast Meat Supply</v>
      </c>
      <c r="P321" s="7" t="s">
        <v>136</v>
      </c>
    </row>
    <row r="322" spans="1:16" x14ac:dyDescent="0.25">
      <c r="A322" s="7">
        <v>161</v>
      </c>
      <c r="B322" s="7" t="s">
        <v>298</v>
      </c>
      <c r="C322" s="8">
        <v>46096</v>
      </c>
      <c r="D322" s="7" t="s">
        <v>80</v>
      </c>
      <c r="E322" s="7" t="str">
        <f>IFERROR(INDEX(Restaurants!$B$2:$B$6,MATCH(D322,Restaurants!$A$2:$A$6,0)),"")</f>
        <v>Trailhead Burger Co. #104 - Laredo, TX</v>
      </c>
      <c r="F322" s="7" t="s">
        <v>58</v>
      </c>
      <c r="G322" s="7" t="str">
        <f>IFERROR(INDEX(Chart_of_Accounts!$B$2:$B$18,MATCH(F322,Chart_of_Accounts!$A$2:$A$18,0)),"")</f>
        <v>Labor</v>
      </c>
      <c r="H322" s="7" t="str">
        <f>IFERROR(INDEX(Chart_of_Accounts!$C$2:$C$18,MATCH(F322,Chart_of_Accounts!$A$2:$A$18,0)),"")</f>
        <v>Expense</v>
      </c>
      <c r="I322" s="9">
        <v>28040.48</v>
      </c>
      <c r="J322" s="9"/>
      <c r="K322" s="7" t="s">
        <v>151</v>
      </c>
      <c r="L322" s="7" t="s">
        <v>32</v>
      </c>
      <c r="M322" s="7" t="s">
        <v>114</v>
      </c>
      <c r="N322" s="7"/>
      <c r="O322" s="7"/>
      <c r="P322" s="7" t="s">
        <v>152</v>
      </c>
    </row>
    <row r="323" spans="1:16" x14ac:dyDescent="0.25">
      <c r="A323" s="7">
        <v>161</v>
      </c>
      <c r="B323" s="7" t="s">
        <v>298</v>
      </c>
      <c r="C323" s="8">
        <v>46096</v>
      </c>
      <c r="D323" s="7" t="s">
        <v>80</v>
      </c>
      <c r="E323" s="7" t="str">
        <f>IFERROR(INDEX(Restaurants!$B$2:$B$6,MATCH(D323,Restaurants!$A$2:$A$6,0)),"")</f>
        <v>Trailhead Burger Co. #104 - Laredo, TX</v>
      </c>
      <c r="F323" s="7" t="s">
        <v>31</v>
      </c>
      <c r="G323" s="7" t="str">
        <f>IFERROR(INDEX(Chart_of_Accounts!$B$2:$B$18,MATCH(F323,Chart_of_Accounts!$A$2:$A$18,0)),"")</f>
        <v>Cash</v>
      </c>
      <c r="H323" s="7" t="str">
        <f>IFERROR(INDEX(Chart_of_Accounts!$C$2:$C$18,MATCH(F323,Chart_of_Accounts!$A$2:$A$18,0)),"")</f>
        <v>Asset</v>
      </c>
      <c r="I323" s="9"/>
      <c r="J323" s="9">
        <v>28040.48</v>
      </c>
      <c r="K323" s="7" t="s">
        <v>151</v>
      </c>
      <c r="L323" s="7" t="s">
        <v>32</v>
      </c>
      <c r="M323" s="7" t="s">
        <v>114</v>
      </c>
      <c r="N323" s="7"/>
      <c r="O323" s="7"/>
      <c r="P323" s="7" t="s">
        <v>152</v>
      </c>
    </row>
    <row r="324" spans="1:16" x14ac:dyDescent="0.25">
      <c r="A324" s="7">
        <v>162</v>
      </c>
      <c r="B324" s="7" t="s">
        <v>299</v>
      </c>
      <c r="C324" s="8">
        <v>46082</v>
      </c>
      <c r="D324" s="7" t="s">
        <v>80</v>
      </c>
      <c r="E324" s="7" t="str">
        <f>IFERROR(INDEX(Restaurants!$B$2:$B$6,MATCH(D324,Restaurants!$A$2:$A$6,0)),"")</f>
        <v>Trailhead Burger Co. #104 - Laredo, TX</v>
      </c>
      <c r="F324" s="7" t="s">
        <v>60</v>
      </c>
      <c r="G324" s="7" t="str">
        <f>IFERROR(INDEX(Chart_of_Accounts!$B$2:$B$18,MATCH(F324,Chart_of_Accounts!$A$2:$A$18,0)),"")</f>
        <v>Rent</v>
      </c>
      <c r="H324" s="7" t="str">
        <f>IFERROR(INDEX(Chart_of_Accounts!$C$2:$C$18,MATCH(F324,Chart_of_Accounts!$A$2:$A$18,0)),"")</f>
        <v>Expense</v>
      </c>
      <c r="I324" s="9">
        <v>8000</v>
      </c>
      <c r="J324" s="9"/>
      <c r="K324" s="7" t="s">
        <v>154</v>
      </c>
      <c r="L324" s="7" t="s">
        <v>32</v>
      </c>
      <c r="M324" s="7" t="s">
        <v>114</v>
      </c>
      <c r="N324" s="7" t="s">
        <v>98</v>
      </c>
      <c r="O324" s="7" t="str">
        <f>IFERROR(INDEX(Vendors!$B$2:$B$10,MATCH(N324,Vendors!$A$2:$A$10,0)),"")</f>
        <v>Prime Property Management</v>
      </c>
      <c r="P324" s="7" t="s">
        <v>115</v>
      </c>
    </row>
    <row r="325" spans="1:16" x14ac:dyDescent="0.25">
      <c r="A325" s="7">
        <v>162</v>
      </c>
      <c r="B325" s="7" t="s">
        <v>299</v>
      </c>
      <c r="C325" s="8">
        <v>46082</v>
      </c>
      <c r="D325" s="7" t="s">
        <v>80</v>
      </c>
      <c r="E325" s="7" t="str">
        <f>IFERROR(INDEX(Restaurants!$B$2:$B$6,MATCH(D325,Restaurants!$A$2:$A$6,0)),"")</f>
        <v>Trailhead Burger Co. #104 - Laredo, TX</v>
      </c>
      <c r="F325" s="7" t="s">
        <v>31</v>
      </c>
      <c r="G325" s="7" t="str">
        <f>IFERROR(INDEX(Chart_of_Accounts!$B$2:$B$18,MATCH(F325,Chart_of_Accounts!$A$2:$A$18,0)),"")</f>
        <v>Cash</v>
      </c>
      <c r="H325" s="7" t="str">
        <f>IFERROR(INDEX(Chart_of_Accounts!$C$2:$C$18,MATCH(F325,Chart_of_Accounts!$A$2:$A$18,0)),"")</f>
        <v>Asset</v>
      </c>
      <c r="I325" s="9"/>
      <c r="J325" s="9">
        <v>8000</v>
      </c>
      <c r="K325" s="7" t="s">
        <v>154</v>
      </c>
      <c r="L325" s="7" t="s">
        <v>32</v>
      </c>
      <c r="M325" s="7" t="s">
        <v>114</v>
      </c>
      <c r="N325" s="7" t="s">
        <v>98</v>
      </c>
      <c r="O325" s="7" t="str">
        <f>IFERROR(INDEX(Vendors!$B$2:$B$10,MATCH(N325,Vendors!$A$2:$A$10,0)),"")</f>
        <v>Prime Property Management</v>
      </c>
      <c r="P325" s="7" t="s">
        <v>115</v>
      </c>
    </row>
    <row r="326" spans="1:16" x14ac:dyDescent="0.25">
      <c r="A326" s="7">
        <v>163</v>
      </c>
      <c r="B326" s="7" t="s">
        <v>300</v>
      </c>
      <c r="C326" s="8">
        <v>46101</v>
      </c>
      <c r="D326" s="7" t="s">
        <v>80</v>
      </c>
      <c r="E326" s="7" t="str">
        <f>IFERROR(INDEX(Restaurants!$B$2:$B$6,MATCH(D326,Restaurants!$A$2:$A$6,0)),"")</f>
        <v>Trailhead Burger Co. #104 - Laredo, TX</v>
      </c>
      <c r="F326" s="7" t="s">
        <v>62</v>
      </c>
      <c r="G326" s="7" t="str">
        <f>IFERROR(INDEX(Chart_of_Accounts!$B$2:$B$18,MATCH(F326,Chart_of_Accounts!$A$2:$A$18,0)),"")</f>
        <v>Utilities</v>
      </c>
      <c r="H326" s="7" t="str">
        <f>IFERROR(INDEX(Chart_of_Accounts!$C$2:$C$18,MATCH(F326,Chart_of_Accounts!$A$2:$A$18,0)),"")</f>
        <v>Expense</v>
      </c>
      <c r="I326" s="9">
        <v>2332</v>
      </c>
      <c r="J326" s="9"/>
      <c r="K326" s="7" t="s">
        <v>156</v>
      </c>
      <c r="L326" s="7" t="s">
        <v>32</v>
      </c>
      <c r="M326" s="7" t="s">
        <v>114</v>
      </c>
      <c r="N326" s="7" t="s">
        <v>96</v>
      </c>
      <c r="O326" s="7" t="str">
        <f>IFERROR(INDEX(Vendors!$B$2:$B$10,MATCH(N326,Vendors!$A$2:$A$10,0)),"")</f>
        <v>CityWide Utilities</v>
      </c>
      <c r="P326" s="7" t="s">
        <v>157</v>
      </c>
    </row>
    <row r="327" spans="1:16" x14ac:dyDescent="0.25">
      <c r="A327" s="7">
        <v>163</v>
      </c>
      <c r="B327" s="7" t="s">
        <v>300</v>
      </c>
      <c r="C327" s="8">
        <v>46101</v>
      </c>
      <c r="D327" s="7" t="s">
        <v>80</v>
      </c>
      <c r="E327" s="7" t="str">
        <f>IFERROR(INDEX(Restaurants!$B$2:$B$6,MATCH(D327,Restaurants!$A$2:$A$6,0)),"")</f>
        <v>Trailhead Burger Co. #104 - Laredo, TX</v>
      </c>
      <c r="F327" s="7" t="s">
        <v>31</v>
      </c>
      <c r="G327" s="7" t="str">
        <f>IFERROR(INDEX(Chart_of_Accounts!$B$2:$B$18,MATCH(F327,Chart_of_Accounts!$A$2:$A$18,0)),"")</f>
        <v>Cash</v>
      </c>
      <c r="H327" s="7" t="str">
        <f>IFERROR(INDEX(Chart_of_Accounts!$C$2:$C$18,MATCH(F327,Chart_of_Accounts!$A$2:$A$18,0)),"")</f>
        <v>Asset</v>
      </c>
      <c r="I327" s="9"/>
      <c r="J327" s="9">
        <v>2332</v>
      </c>
      <c r="K327" s="7" t="s">
        <v>156</v>
      </c>
      <c r="L327" s="7" t="s">
        <v>32</v>
      </c>
      <c r="M327" s="7" t="s">
        <v>114</v>
      </c>
      <c r="N327" s="7" t="s">
        <v>96</v>
      </c>
      <c r="O327" s="7" t="str">
        <f>IFERROR(INDEX(Vendors!$B$2:$B$10,MATCH(N327,Vendors!$A$2:$A$10,0)),"")</f>
        <v>CityWide Utilities</v>
      </c>
      <c r="P327" s="7" t="s">
        <v>157</v>
      </c>
    </row>
    <row r="328" spans="1:16" x14ac:dyDescent="0.25">
      <c r="A328" s="7">
        <v>164</v>
      </c>
      <c r="B328" s="7" t="s">
        <v>301</v>
      </c>
      <c r="C328" s="8">
        <v>46109</v>
      </c>
      <c r="D328" s="7" t="s">
        <v>80</v>
      </c>
      <c r="E328" s="7" t="str">
        <f>IFERROR(INDEX(Restaurants!$B$2:$B$6,MATCH(D328,Restaurants!$A$2:$A$6,0)),"")</f>
        <v>Trailhead Burger Co. #104 - Laredo, TX</v>
      </c>
      <c r="F328" s="7" t="s">
        <v>66</v>
      </c>
      <c r="G328" s="7" t="str">
        <f>IFERROR(INDEX(Chart_of_Accounts!$B$2:$B$18,MATCH(F328,Chart_of_Accounts!$A$2:$A$18,0)),"")</f>
        <v>CC Processing Fees</v>
      </c>
      <c r="H328" s="7" t="str">
        <f>IFERROR(INDEX(Chart_of_Accounts!$C$2:$C$18,MATCH(F328,Chart_of_Accounts!$A$2:$A$18,0)),"")</f>
        <v>Expense</v>
      </c>
      <c r="I328" s="9">
        <v>2696.2</v>
      </c>
      <c r="J328" s="9"/>
      <c r="K328" s="7" t="s">
        <v>159</v>
      </c>
      <c r="L328" s="7" t="s">
        <v>32</v>
      </c>
      <c r="M328" s="7" t="s">
        <v>114</v>
      </c>
      <c r="N328" s="7"/>
      <c r="O328" s="7"/>
      <c r="P328" s="7" t="s">
        <v>115</v>
      </c>
    </row>
    <row r="329" spans="1:16" x14ac:dyDescent="0.25">
      <c r="A329" s="7">
        <v>164</v>
      </c>
      <c r="B329" s="7" t="s">
        <v>301</v>
      </c>
      <c r="C329" s="8">
        <v>46109</v>
      </c>
      <c r="D329" s="7" t="s">
        <v>80</v>
      </c>
      <c r="E329" s="7" t="str">
        <f>IFERROR(INDEX(Restaurants!$B$2:$B$6,MATCH(D329,Restaurants!$A$2:$A$6,0)),"")</f>
        <v>Trailhead Burger Co. #104 - Laredo, TX</v>
      </c>
      <c r="F329" s="7" t="s">
        <v>31</v>
      </c>
      <c r="G329" s="7" t="str">
        <f>IFERROR(INDEX(Chart_of_Accounts!$B$2:$B$18,MATCH(F329,Chart_of_Accounts!$A$2:$A$18,0)),"")</f>
        <v>Cash</v>
      </c>
      <c r="H329" s="7" t="str">
        <f>IFERROR(INDEX(Chart_of_Accounts!$C$2:$C$18,MATCH(F329,Chart_of_Accounts!$A$2:$A$18,0)),"")</f>
        <v>Asset</v>
      </c>
      <c r="I329" s="9"/>
      <c r="J329" s="9">
        <v>2696.2</v>
      </c>
      <c r="K329" s="7" t="s">
        <v>159</v>
      </c>
      <c r="L329" s="7" t="s">
        <v>32</v>
      </c>
      <c r="M329" s="7" t="s">
        <v>114</v>
      </c>
      <c r="N329" s="7"/>
      <c r="O329" s="7"/>
      <c r="P329" s="7" t="s">
        <v>115</v>
      </c>
    </row>
    <row r="330" spans="1:16" x14ac:dyDescent="0.25">
      <c r="A330" s="7">
        <v>165</v>
      </c>
      <c r="B330" s="7" t="s">
        <v>302</v>
      </c>
      <c r="C330" s="8">
        <v>46093</v>
      </c>
      <c r="D330" s="7" t="s">
        <v>80</v>
      </c>
      <c r="E330" s="7" t="str">
        <f>IFERROR(INDEX(Restaurants!$B$2:$B$6,MATCH(D330,Restaurants!$A$2:$A$6,0)),"")</f>
        <v>Trailhead Burger Co. #104 - Laredo, TX</v>
      </c>
      <c r="F330" s="7" t="s">
        <v>68</v>
      </c>
      <c r="G330" s="7" t="str">
        <f>IFERROR(INDEX(Chart_of_Accounts!$B$2:$B$18,MATCH(F330,Chart_of_Accounts!$A$2:$A$18,0)),"")</f>
        <v>Marketing</v>
      </c>
      <c r="H330" s="7" t="str">
        <f>IFERROR(INDEX(Chart_of_Accounts!$C$2:$C$18,MATCH(F330,Chart_of_Accounts!$A$2:$A$18,0)),"")</f>
        <v>Expense</v>
      </c>
      <c r="I330" s="9">
        <v>3235.44</v>
      </c>
      <c r="J330" s="9"/>
      <c r="K330" s="7" t="s">
        <v>161</v>
      </c>
      <c r="L330" s="7" t="s">
        <v>32</v>
      </c>
      <c r="M330" s="7" t="s">
        <v>114</v>
      </c>
      <c r="N330" s="7" t="s">
        <v>100</v>
      </c>
      <c r="O330" s="7" t="str">
        <f>IFERROR(INDEX(Vendors!$B$2:$B$10,MATCH(N330,Vendors!$A$2:$A$10,0)),"")</f>
        <v>BrightSign Marketing Agency</v>
      </c>
      <c r="P330" s="7" t="s">
        <v>69</v>
      </c>
    </row>
    <row r="331" spans="1:16" x14ac:dyDescent="0.25">
      <c r="A331" s="7">
        <v>165</v>
      </c>
      <c r="B331" s="7" t="s">
        <v>302</v>
      </c>
      <c r="C331" s="8">
        <v>46093</v>
      </c>
      <c r="D331" s="7" t="s">
        <v>80</v>
      </c>
      <c r="E331" s="7" t="str">
        <f>IFERROR(INDEX(Restaurants!$B$2:$B$6,MATCH(D331,Restaurants!$A$2:$A$6,0)),"")</f>
        <v>Trailhead Burger Co. #104 - Laredo, TX</v>
      </c>
      <c r="F331" s="7" t="s">
        <v>31</v>
      </c>
      <c r="G331" s="7" t="str">
        <f>IFERROR(INDEX(Chart_of_Accounts!$B$2:$B$18,MATCH(F331,Chart_of_Accounts!$A$2:$A$18,0)),"")</f>
        <v>Cash</v>
      </c>
      <c r="H331" s="7" t="str">
        <f>IFERROR(INDEX(Chart_of_Accounts!$C$2:$C$18,MATCH(F331,Chart_of_Accounts!$A$2:$A$18,0)),"")</f>
        <v>Asset</v>
      </c>
      <c r="I331" s="9"/>
      <c r="J331" s="9">
        <v>3235.44</v>
      </c>
      <c r="K331" s="7" t="s">
        <v>161</v>
      </c>
      <c r="L331" s="7" t="s">
        <v>32</v>
      </c>
      <c r="M331" s="7" t="s">
        <v>114</v>
      </c>
      <c r="N331" s="7" t="s">
        <v>100</v>
      </c>
      <c r="O331" s="7" t="str">
        <f>IFERROR(INDEX(Vendors!$B$2:$B$10,MATCH(N331,Vendors!$A$2:$A$10,0)),"")</f>
        <v>BrightSign Marketing Agency</v>
      </c>
      <c r="P331" s="7" t="s">
        <v>69</v>
      </c>
    </row>
    <row r="332" spans="1:16" x14ac:dyDescent="0.25">
      <c r="A332" s="7">
        <v>166</v>
      </c>
      <c r="B332" s="7" t="s">
        <v>303</v>
      </c>
      <c r="C332" s="8">
        <v>46111</v>
      </c>
      <c r="D332" s="7" t="s">
        <v>80</v>
      </c>
      <c r="E332" s="7" t="str">
        <f>IFERROR(INDEX(Restaurants!$B$2:$B$6,MATCH(D332,Restaurants!$A$2:$A$6,0)),"")</f>
        <v>Trailhead Burger Co. #104 - Laredo, TX</v>
      </c>
      <c r="F332" s="7" t="s">
        <v>70</v>
      </c>
      <c r="G332" s="7" t="str">
        <f>IFERROR(INDEX(Chart_of_Accounts!$B$2:$B$18,MATCH(F332,Chart_of_Accounts!$A$2:$A$18,0)),"")</f>
        <v>Franchise Fees</v>
      </c>
      <c r="H332" s="7" t="str">
        <f>IFERROR(INDEX(Chart_of_Accounts!$C$2:$C$18,MATCH(F332,Chart_of_Accounts!$A$2:$A$18,0)),"")</f>
        <v>Expense</v>
      </c>
      <c r="I332" s="9">
        <v>4313.92</v>
      </c>
      <c r="J332" s="9"/>
      <c r="K332" s="7" t="s">
        <v>163</v>
      </c>
      <c r="L332" s="7" t="s">
        <v>32</v>
      </c>
      <c r="M332" s="7" t="s">
        <v>114</v>
      </c>
      <c r="N332" s="7" t="s">
        <v>102</v>
      </c>
      <c r="O332" s="7" t="str">
        <f>IFERROR(INDEX(Vendors!$B$2:$B$10,MATCH(N332,Vendors!$A$2:$A$10,0)),"")</f>
        <v>Trailhead Burger Co. - Corporate</v>
      </c>
      <c r="P332" s="7" t="s">
        <v>115</v>
      </c>
    </row>
    <row r="333" spans="1:16" x14ac:dyDescent="0.25">
      <c r="A333" s="7">
        <v>166</v>
      </c>
      <c r="B333" s="7" t="s">
        <v>303</v>
      </c>
      <c r="C333" s="8">
        <v>46111</v>
      </c>
      <c r="D333" s="7" t="s">
        <v>80</v>
      </c>
      <c r="E333" s="7" t="str">
        <f>IFERROR(INDEX(Restaurants!$B$2:$B$6,MATCH(D333,Restaurants!$A$2:$A$6,0)),"")</f>
        <v>Trailhead Burger Co. #104 - Laredo, TX</v>
      </c>
      <c r="F333" s="7" t="s">
        <v>31</v>
      </c>
      <c r="G333" s="7" t="str">
        <f>IFERROR(INDEX(Chart_of_Accounts!$B$2:$B$18,MATCH(F333,Chart_of_Accounts!$A$2:$A$18,0)),"")</f>
        <v>Cash</v>
      </c>
      <c r="H333" s="7" t="str">
        <f>IFERROR(INDEX(Chart_of_Accounts!$C$2:$C$18,MATCH(F333,Chart_of_Accounts!$A$2:$A$18,0)),"")</f>
        <v>Asset</v>
      </c>
      <c r="I333" s="9"/>
      <c r="J333" s="9">
        <v>4313.92</v>
      </c>
      <c r="K333" s="7" t="s">
        <v>163</v>
      </c>
      <c r="L333" s="7" t="s">
        <v>32</v>
      </c>
      <c r="M333" s="7" t="s">
        <v>114</v>
      </c>
      <c r="N333" s="7" t="s">
        <v>102</v>
      </c>
      <c r="O333" s="7" t="str">
        <f>IFERROR(INDEX(Vendors!$B$2:$B$10,MATCH(N333,Vendors!$A$2:$A$10,0)),"")</f>
        <v>Trailhead Burger Co. - Corporate</v>
      </c>
      <c r="P333" s="7" t="s">
        <v>115</v>
      </c>
    </row>
    <row r="334" spans="1:16" x14ac:dyDescent="0.25">
      <c r="A334" s="7">
        <v>167</v>
      </c>
      <c r="B334" s="7" t="s">
        <v>304</v>
      </c>
      <c r="C334" s="8">
        <v>46099</v>
      </c>
      <c r="D334" s="7" t="s">
        <v>80</v>
      </c>
      <c r="E334" s="7" t="str">
        <f>IFERROR(INDEX(Restaurants!$B$2:$B$6,MATCH(D334,Restaurants!$A$2:$A$6,0)),"")</f>
        <v>Trailhead Burger Co. #104 - Laredo, TX</v>
      </c>
      <c r="F334" s="7" t="s">
        <v>41</v>
      </c>
      <c r="G334" s="7" t="str">
        <f>IFERROR(INDEX(Chart_of_Accounts!$B$2:$B$18,MATCH(F334,Chart_of_Accounts!$A$2:$A$18,0)),"")</f>
        <v>Accounts Payable</v>
      </c>
      <c r="H334" s="7" t="str">
        <f>IFERROR(INDEX(Chart_of_Accounts!$C$2:$C$18,MATCH(F334,Chart_of_Accounts!$A$2:$A$18,0)),"")</f>
        <v>Liability</v>
      </c>
      <c r="I334" s="9">
        <v>40766.54</v>
      </c>
      <c r="J334" s="9"/>
      <c r="K334" s="7" t="s">
        <v>177</v>
      </c>
      <c r="L334" s="7" t="s">
        <v>32</v>
      </c>
      <c r="M334" s="7" t="s">
        <v>114</v>
      </c>
      <c r="N334" s="7" t="s">
        <v>86</v>
      </c>
      <c r="O334" s="7" t="str">
        <f>IFERROR(INDEX(Vendors!$B$2:$B$10,MATCH(N334,Vendors!$A$2:$A$10,0)),"")</f>
        <v>Gulf Coast Meat Supply</v>
      </c>
      <c r="P334" s="7" t="s">
        <v>115</v>
      </c>
    </row>
    <row r="335" spans="1:16" x14ac:dyDescent="0.25">
      <c r="A335" s="7">
        <v>167</v>
      </c>
      <c r="B335" s="7" t="s">
        <v>304</v>
      </c>
      <c r="C335" s="8">
        <v>46099</v>
      </c>
      <c r="D335" s="7" t="s">
        <v>80</v>
      </c>
      <c r="E335" s="7" t="str">
        <f>IFERROR(INDEX(Restaurants!$B$2:$B$6,MATCH(D335,Restaurants!$A$2:$A$6,0)),"")</f>
        <v>Trailhead Burger Co. #104 - Laredo, TX</v>
      </c>
      <c r="F335" s="7" t="s">
        <v>31</v>
      </c>
      <c r="G335" s="7" t="str">
        <f>IFERROR(INDEX(Chart_of_Accounts!$B$2:$B$18,MATCH(F335,Chart_of_Accounts!$A$2:$A$18,0)),"")</f>
        <v>Cash</v>
      </c>
      <c r="H335" s="7" t="str">
        <f>IFERROR(INDEX(Chart_of_Accounts!$C$2:$C$18,MATCH(F335,Chart_of_Accounts!$A$2:$A$18,0)),"")</f>
        <v>Asset</v>
      </c>
      <c r="I335" s="9"/>
      <c r="J335" s="9">
        <v>40766.54</v>
      </c>
      <c r="K335" s="7" t="s">
        <v>177</v>
      </c>
      <c r="L335" s="7" t="s">
        <v>32</v>
      </c>
      <c r="M335" s="7" t="s">
        <v>114</v>
      </c>
      <c r="N335" s="7" t="s">
        <v>86</v>
      </c>
      <c r="O335" s="7" t="str">
        <f>IFERROR(INDEX(Vendors!$B$2:$B$10,MATCH(N335,Vendors!$A$2:$A$10,0)),"")</f>
        <v>Gulf Coast Meat Supply</v>
      </c>
      <c r="P335" s="7" t="s">
        <v>115</v>
      </c>
    </row>
    <row r="336" spans="1:16" x14ac:dyDescent="0.25">
      <c r="A336" s="7">
        <v>168</v>
      </c>
      <c r="B336" s="7" t="s">
        <v>305</v>
      </c>
      <c r="C336" s="8">
        <v>46027</v>
      </c>
      <c r="D336" s="7" t="s">
        <v>82</v>
      </c>
      <c r="E336" s="7" t="str">
        <f>IFERROR(INDEX(Restaurants!$B$2:$B$6,MATCH(D336,Restaurants!$A$2:$A$6,0)),"")</f>
        <v>Trailhead Burger Co. #105 - Houston, TX</v>
      </c>
      <c r="F336" s="7" t="s">
        <v>31</v>
      </c>
      <c r="G336" s="7" t="str">
        <f>IFERROR(INDEX(Chart_of_Accounts!$B$2:$B$18,MATCH(F336,Chart_of_Accounts!$A$2:$A$18,0)),"")</f>
        <v>Cash</v>
      </c>
      <c r="H336" s="7" t="str">
        <f>IFERROR(INDEX(Chart_of_Accounts!$C$2:$C$18,MATCH(F336,Chart_of_Accounts!$A$2:$A$18,0)),"")</f>
        <v>Asset</v>
      </c>
      <c r="I336" s="9">
        <v>110000</v>
      </c>
      <c r="J336" s="9"/>
      <c r="K336" s="7" t="s">
        <v>134</v>
      </c>
      <c r="L336" s="7" t="s">
        <v>32</v>
      </c>
      <c r="M336" s="7" t="s">
        <v>135</v>
      </c>
      <c r="N336" s="7"/>
      <c r="O336" s="7"/>
      <c r="P336" s="7" t="s">
        <v>136</v>
      </c>
    </row>
    <row r="337" spans="1:16" x14ac:dyDescent="0.25">
      <c r="A337" s="7">
        <v>168</v>
      </c>
      <c r="B337" s="7" t="s">
        <v>305</v>
      </c>
      <c r="C337" s="8">
        <v>46027</v>
      </c>
      <c r="D337" s="7" t="s">
        <v>82</v>
      </c>
      <c r="E337" s="7" t="str">
        <f>IFERROR(INDEX(Restaurants!$B$2:$B$6,MATCH(D337,Restaurants!$A$2:$A$6,0)),"")</f>
        <v>Trailhead Burger Co. #105 - Houston, TX</v>
      </c>
      <c r="F337" s="7" t="s">
        <v>50</v>
      </c>
      <c r="G337" s="7" t="str">
        <f>IFERROR(INDEX(Chart_of_Accounts!$B$2:$B$18,MATCH(F337,Chart_of_Accounts!$A$2:$A$18,0)),"")</f>
        <v>Restaurant Sales</v>
      </c>
      <c r="H337" s="7" t="str">
        <f>IFERROR(INDEX(Chart_of_Accounts!$C$2:$C$18,MATCH(F337,Chart_of_Accounts!$A$2:$A$18,0)),"")</f>
        <v>Revenue</v>
      </c>
      <c r="I337" s="9"/>
      <c r="J337" s="9">
        <v>110000</v>
      </c>
      <c r="K337" s="7" t="s">
        <v>134</v>
      </c>
      <c r="L337" s="7" t="s">
        <v>32</v>
      </c>
      <c r="M337" s="7" t="s">
        <v>135</v>
      </c>
      <c r="N337" s="7"/>
      <c r="O337" s="7"/>
      <c r="P337" s="7" t="s">
        <v>136</v>
      </c>
    </row>
    <row r="338" spans="1:16" x14ac:dyDescent="0.25">
      <c r="A338" s="7">
        <v>169</v>
      </c>
      <c r="B338" s="7" t="s">
        <v>306</v>
      </c>
      <c r="C338" s="8">
        <v>46029</v>
      </c>
      <c r="D338" s="7" t="s">
        <v>82</v>
      </c>
      <c r="E338" s="7" t="str">
        <f>IFERROR(INDEX(Restaurants!$B$2:$B$6,MATCH(D338,Restaurants!$A$2:$A$6,0)),"")</f>
        <v>Trailhead Burger Co. #105 - Houston, TX</v>
      </c>
      <c r="F338" s="7" t="s">
        <v>35</v>
      </c>
      <c r="G338" s="7" t="str">
        <f>IFERROR(INDEX(Chart_of_Accounts!$B$2:$B$18,MATCH(F338,Chart_of_Accounts!$A$2:$A$18,0)),"")</f>
        <v>Accounts Receivable</v>
      </c>
      <c r="H338" s="7" t="str">
        <f>IFERROR(INDEX(Chart_of_Accounts!$C$2:$C$18,MATCH(F338,Chart_of_Accounts!$A$2:$A$18,0)),"")</f>
        <v>Asset</v>
      </c>
      <c r="I338" s="9">
        <v>24200</v>
      </c>
      <c r="J338" s="9"/>
      <c r="K338" s="7" t="s">
        <v>138</v>
      </c>
      <c r="L338" s="7" t="s">
        <v>139</v>
      </c>
      <c r="M338" s="7" t="s">
        <v>140</v>
      </c>
      <c r="N338" s="7" t="s">
        <v>94</v>
      </c>
      <c r="O338" s="7" t="str">
        <f>IFERROR(INDEX(Vendors!$B$2:$B$10,MATCH(N338,Vendors!$A$2:$A$10,0)),"")</f>
        <v>QuickDash Delivery Platform</v>
      </c>
      <c r="P338" s="7" t="s">
        <v>136</v>
      </c>
    </row>
    <row r="339" spans="1:16" x14ac:dyDescent="0.25">
      <c r="A339" s="7">
        <v>169</v>
      </c>
      <c r="B339" s="7" t="s">
        <v>306</v>
      </c>
      <c r="C339" s="8">
        <v>46029</v>
      </c>
      <c r="D339" s="7" t="s">
        <v>82</v>
      </c>
      <c r="E339" s="7" t="str">
        <f>IFERROR(INDEX(Restaurants!$B$2:$B$6,MATCH(D339,Restaurants!$A$2:$A$6,0)),"")</f>
        <v>Trailhead Burger Co. #105 - Houston, TX</v>
      </c>
      <c r="F339" s="7" t="s">
        <v>53</v>
      </c>
      <c r="G339" s="7" t="str">
        <f>IFERROR(INDEX(Chart_of_Accounts!$B$2:$B$18,MATCH(F339,Chart_of_Accounts!$A$2:$A$18,0)),"")</f>
        <v>Delivery Sales</v>
      </c>
      <c r="H339" s="7" t="str">
        <f>IFERROR(INDEX(Chart_of_Accounts!$C$2:$C$18,MATCH(F339,Chart_of_Accounts!$A$2:$A$18,0)),"")</f>
        <v>Revenue</v>
      </c>
      <c r="I339" s="9"/>
      <c r="J339" s="9">
        <v>24200</v>
      </c>
      <c r="K339" s="7" t="s">
        <v>138</v>
      </c>
      <c r="L339" s="7" t="s">
        <v>139</v>
      </c>
      <c r="M339" s="7" t="s">
        <v>140</v>
      </c>
      <c r="N339" s="7" t="s">
        <v>94</v>
      </c>
      <c r="O339" s="7" t="str">
        <f>IFERROR(INDEX(Vendors!$B$2:$B$10,MATCH(N339,Vendors!$A$2:$A$10,0)),"")</f>
        <v>QuickDash Delivery Platform</v>
      </c>
      <c r="P339" s="7" t="s">
        <v>136</v>
      </c>
    </row>
    <row r="340" spans="1:16" x14ac:dyDescent="0.25">
      <c r="A340" s="7">
        <v>170</v>
      </c>
      <c r="B340" s="7" t="s">
        <v>307</v>
      </c>
      <c r="C340" s="8">
        <v>46032</v>
      </c>
      <c r="D340" s="7" t="s">
        <v>82</v>
      </c>
      <c r="E340" s="7" t="str">
        <f>IFERROR(INDEX(Restaurants!$B$2:$B$6,MATCH(D340,Restaurants!$A$2:$A$6,0)),"")</f>
        <v>Trailhead Burger Co. #105 - Houston, TX</v>
      </c>
      <c r="F340" s="7" t="s">
        <v>31</v>
      </c>
      <c r="G340" s="7" t="str">
        <f>IFERROR(INDEX(Chart_of_Accounts!$B$2:$B$18,MATCH(F340,Chart_of_Accounts!$A$2:$A$18,0)),"")</f>
        <v>Cash</v>
      </c>
      <c r="H340" s="7" t="str">
        <f>IFERROR(INDEX(Chart_of_Accounts!$C$2:$C$18,MATCH(F340,Chart_of_Accounts!$A$2:$A$18,0)),"")</f>
        <v>Asset</v>
      </c>
      <c r="I340" s="9">
        <v>24200</v>
      </c>
      <c r="J340" s="9"/>
      <c r="K340" s="7" t="s">
        <v>142</v>
      </c>
      <c r="L340" s="7" t="s">
        <v>139</v>
      </c>
      <c r="M340" s="7" t="s">
        <v>140</v>
      </c>
      <c r="N340" s="7" t="s">
        <v>94</v>
      </c>
      <c r="O340" s="7" t="str">
        <f>IFERROR(INDEX(Vendors!$B$2:$B$10,MATCH(N340,Vendors!$A$2:$A$10,0)),"")</f>
        <v>QuickDash Delivery Platform</v>
      </c>
      <c r="P340" s="7" t="s">
        <v>136</v>
      </c>
    </row>
    <row r="341" spans="1:16" x14ac:dyDescent="0.25">
      <c r="A341" s="7">
        <v>170</v>
      </c>
      <c r="B341" s="7" t="s">
        <v>307</v>
      </c>
      <c r="C341" s="8">
        <v>46032</v>
      </c>
      <c r="D341" s="7" t="s">
        <v>82</v>
      </c>
      <c r="E341" s="7" t="str">
        <f>IFERROR(INDEX(Restaurants!$B$2:$B$6,MATCH(D341,Restaurants!$A$2:$A$6,0)),"")</f>
        <v>Trailhead Burger Co. #105 - Houston, TX</v>
      </c>
      <c r="F341" s="7" t="s">
        <v>35</v>
      </c>
      <c r="G341" s="7" t="str">
        <f>IFERROR(INDEX(Chart_of_Accounts!$B$2:$B$18,MATCH(F341,Chart_of_Accounts!$A$2:$A$18,0)),"")</f>
        <v>Accounts Receivable</v>
      </c>
      <c r="H341" s="7" t="str">
        <f>IFERROR(INDEX(Chart_of_Accounts!$C$2:$C$18,MATCH(F341,Chart_of_Accounts!$A$2:$A$18,0)),"")</f>
        <v>Asset</v>
      </c>
      <c r="I341" s="9"/>
      <c r="J341" s="9">
        <v>24200</v>
      </c>
      <c r="K341" s="7" t="s">
        <v>142</v>
      </c>
      <c r="L341" s="7" t="s">
        <v>139</v>
      </c>
      <c r="M341" s="7" t="s">
        <v>140</v>
      </c>
      <c r="N341" s="7" t="s">
        <v>94</v>
      </c>
      <c r="O341" s="7" t="str">
        <f>IFERROR(INDEX(Vendors!$B$2:$B$10,MATCH(N341,Vendors!$A$2:$A$10,0)),"")</f>
        <v>QuickDash Delivery Platform</v>
      </c>
      <c r="P341" s="7" t="s">
        <v>136</v>
      </c>
    </row>
    <row r="342" spans="1:16" x14ac:dyDescent="0.25">
      <c r="A342" s="7">
        <v>171</v>
      </c>
      <c r="B342" s="7" t="s">
        <v>308</v>
      </c>
      <c r="C342" s="8">
        <v>46032</v>
      </c>
      <c r="D342" s="7" t="s">
        <v>82</v>
      </c>
      <c r="E342" s="7" t="str">
        <f>IFERROR(INDEX(Restaurants!$B$2:$B$6,MATCH(D342,Restaurants!$A$2:$A$6,0)),"")</f>
        <v>Trailhead Burger Co. #105 - Houston, TX</v>
      </c>
      <c r="F342" s="7" t="s">
        <v>64</v>
      </c>
      <c r="G342" s="7" t="str">
        <f>IFERROR(INDEX(Chart_of_Accounts!$B$2:$B$18,MATCH(F342,Chart_of_Accounts!$A$2:$A$18,0)),"")</f>
        <v>Delivery Fees</v>
      </c>
      <c r="H342" s="7" t="str">
        <f>IFERROR(INDEX(Chart_of_Accounts!$C$2:$C$18,MATCH(F342,Chart_of_Accounts!$A$2:$A$18,0)),"")</f>
        <v>Expense</v>
      </c>
      <c r="I342" s="9">
        <v>3630</v>
      </c>
      <c r="J342" s="9"/>
      <c r="K342" s="7" t="s">
        <v>144</v>
      </c>
      <c r="L342" s="7" t="s">
        <v>32</v>
      </c>
      <c r="M342" s="7" t="s">
        <v>140</v>
      </c>
      <c r="N342" s="7" t="s">
        <v>94</v>
      </c>
      <c r="O342" s="7" t="str">
        <f>IFERROR(INDEX(Vendors!$B$2:$B$10,MATCH(N342,Vendors!$A$2:$A$10,0)),"")</f>
        <v>QuickDash Delivery Platform</v>
      </c>
      <c r="P342" s="7" t="s">
        <v>136</v>
      </c>
    </row>
    <row r="343" spans="1:16" x14ac:dyDescent="0.25">
      <c r="A343" s="7">
        <v>171</v>
      </c>
      <c r="B343" s="7" t="s">
        <v>308</v>
      </c>
      <c r="C343" s="8">
        <v>46032</v>
      </c>
      <c r="D343" s="7" t="s">
        <v>82</v>
      </c>
      <c r="E343" s="7" t="str">
        <f>IFERROR(INDEX(Restaurants!$B$2:$B$6,MATCH(D343,Restaurants!$A$2:$A$6,0)),"")</f>
        <v>Trailhead Burger Co. #105 - Houston, TX</v>
      </c>
      <c r="F343" s="7" t="s">
        <v>31</v>
      </c>
      <c r="G343" s="7" t="str">
        <f>IFERROR(INDEX(Chart_of_Accounts!$B$2:$B$18,MATCH(F343,Chart_of_Accounts!$A$2:$A$18,0)),"")</f>
        <v>Cash</v>
      </c>
      <c r="H343" s="7" t="str">
        <f>IFERROR(INDEX(Chart_of_Accounts!$C$2:$C$18,MATCH(F343,Chart_of_Accounts!$A$2:$A$18,0)),"")</f>
        <v>Asset</v>
      </c>
      <c r="I343" s="9"/>
      <c r="J343" s="9">
        <v>3630</v>
      </c>
      <c r="K343" s="7" t="s">
        <v>144</v>
      </c>
      <c r="L343" s="7" t="s">
        <v>32</v>
      </c>
      <c r="M343" s="7" t="s">
        <v>140</v>
      </c>
      <c r="N343" s="7" t="s">
        <v>94</v>
      </c>
      <c r="O343" s="7" t="str">
        <f>IFERROR(INDEX(Vendors!$B$2:$B$10,MATCH(N343,Vendors!$A$2:$A$10,0)),"")</f>
        <v>QuickDash Delivery Platform</v>
      </c>
      <c r="P343" s="7" t="s">
        <v>136</v>
      </c>
    </row>
    <row r="344" spans="1:16" x14ac:dyDescent="0.25">
      <c r="A344" s="7">
        <v>172</v>
      </c>
      <c r="B344" s="7" t="s">
        <v>309</v>
      </c>
      <c r="C344" s="8">
        <v>46030</v>
      </c>
      <c r="D344" s="7" t="s">
        <v>82</v>
      </c>
      <c r="E344" s="7" t="str">
        <f>IFERROR(INDEX(Restaurants!$B$2:$B$6,MATCH(D344,Restaurants!$A$2:$A$6,0)),"")</f>
        <v>Trailhead Burger Co. #105 - Houston, TX</v>
      </c>
      <c r="F344" s="7" t="s">
        <v>37</v>
      </c>
      <c r="G344" s="7" t="str">
        <f>IFERROR(INDEX(Chart_of_Accounts!$B$2:$B$18,MATCH(F344,Chart_of_Accounts!$A$2:$A$18,0)),"")</f>
        <v>Inventory</v>
      </c>
      <c r="H344" s="7" t="str">
        <f>IFERROR(INDEX(Chart_of_Accounts!$C$2:$C$18,MATCH(F344,Chart_of_Accounts!$A$2:$A$18,0)),"")</f>
        <v>Asset</v>
      </c>
      <c r="I344" s="9">
        <v>42273</v>
      </c>
      <c r="J344" s="9"/>
      <c r="K344" s="7" t="s">
        <v>146</v>
      </c>
      <c r="L344" s="7" t="s">
        <v>113</v>
      </c>
      <c r="M344" s="7" t="s">
        <v>114</v>
      </c>
      <c r="N344" s="7" t="s">
        <v>86</v>
      </c>
      <c r="O344" s="7" t="str">
        <f>IFERROR(INDEX(Vendors!$B$2:$B$10,MATCH(N344,Vendors!$A$2:$A$10,0)),"")</f>
        <v>Gulf Coast Meat Supply</v>
      </c>
      <c r="P344" s="7" t="s">
        <v>147</v>
      </c>
    </row>
    <row r="345" spans="1:16" x14ac:dyDescent="0.25">
      <c r="A345" s="7">
        <v>172</v>
      </c>
      <c r="B345" s="7" t="s">
        <v>309</v>
      </c>
      <c r="C345" s="8">
        <v>46030</v>
      </c>
      <c r="D345" s="7" t="s">
        <v>82</v>
      </c>
      <c r="E345" s="7" t="str">
        <f>IFERROR(INDEX(Restaurants!$B$2:$B$6,MATCH(D345,Restaurants!$A$2:$A$6,0)),"")</f>
        <v>Trailhead Burger Co. #105 - Houston, TX</v>
      </c>
      <c r="F345" s="7" t="s">
        <v>41</v>
      </c>
      <c r="G345" s="7" t="str">
        <f>IFERROR(INDEX(Chart_of_Accounts!$B$2:$B$18,MATCH(F345,Chart_of_Accounts!$A$2:$A$18,0)),"")</f>
        <v>Accounts Payable</v>
      </c>
      <c r="H345" s="7" t="str">
        <f>IFERROR(INDEX(Chart_of_Accounts!$C$2:$C$18,MATCH(F345,Chart_of_Accounts!$A$2:$A$18,0)),"")</f>
        <v>Liability</v>
      </c>
      <c r="I345" s="9"/>
      <c r="J345" s="9">
        <v>42273</v>
      </c>
      <c r="K345" s="7" t="s">
        <v>146</v>
      </c>
      <c r="L345" s="7" t="s">
        <v>113</v>
      </c>
      <c r="M345" s="7" t="s">
        <v>114</v>
      </c>
      <c r="N345" s="7" t="s">
        <v>86</v>
      </c>
      <c r="O345" s="7" t="str">
        <f>IFERROR(INDEX(Vendors!$B$2:$B$10,MATCH(N345,Vendors!$A$2:$A$10,0)),"")</f>
        <v>Gulf Coast Meat Supply</v>
      </c>
      <c r="P345" s="7" t="s">
        <v>147</v>
      </c>
    </row>
    <row r="346" spans="1:16" x14ac:dyDescent="0.25">
      <c r="A346" s="7">
        <v>173</v>
      </c>
      <c r="B346" s="7" t="s">
        <v>310</v>
      </c>
      <c r="C346" s="8">
        <v>46050</v>
      </c>
      <c r="D346" s="7" t="s">
        <v>82</v>
      </c>
      <c r="E346" s="7" t="str">
        <f>IFERROR(INDEX(Restaurants!$B$2:$B$6,MATCH(D346,Restaurants!$A$2:$A$6,0)),"")</f>
        <v>Trailhead Burger Co. #105 - Houston, TX</v>
      </c>
      <c r="F346" s="7" t="s">
        <v>55</v>
      </c>
      <c r="G346" s="7" t="str">
        <f>IFERROR(INDEX(Chart_of_Accounts!$B$2:$B$18,MATCH(F346,Chart_of_Accounts!$A$2:$A$18,0)),"")</f>
        <v>Food Cost</v>
      </c>
      <c r="H346" s="7" t="str">
        <f>IFERROR(INDEX(Chart_of_Accounts!$C$2:$C$18,MATCH(F346,Chart_of_Accounts!$A$2:$A$18,0)),"")</f>
        <v>Expense</v>
      </c>
      <c r="I346" s="9">
        <v>40260</v>
      </c>
      <c r="J346" s="9"/>
      <c r="K346" s="7" t="s">
        <v>149</v>
      </c>
      <c r="L346" s="7" t="s">
        <v>113</v>
      </c>
      <c r="M346" s="7" t="s">
        <v>114</v>
      </c>
      <c r="N346" s="7" t="s">
        <v>86</v>
      </c>
      <c r="O346" s="7" t="str">
        <f>IFERROR(INDEX(Vendors!$B$2:$B$10,MATCH(N346,Vendors!$A$2:$A$10,0)),"")</f>
        <v>Gulf Coast Meat Supply</v>
      </c>
      <c r="P346" s="7" t="s">
        <v>136</v>
      </c>
    </row>
    <row r="347" spans="1:16" x14ac:dyDescent="0.25">
      <c r="A347" s="7">
        <v>173</v>
      </c>
      <c r="B347" s="7" t="s">
        <v>310</v>
      </c>
      <c r="C347" s="8">
        <v>46050</v>
      </c>
      <c r="D347" s="7" t="s">
        <v>82</v>
      </c>
      <c r="E347" s="7" t="str">
        <f>IFERROR(INDEX(Restaurants!$B$2:$B$6,MATCH(D347,Restaurants!$A$2:$A$6,0)),"")</f>
        <v>Trailhead Burger Co. #105 - Houston, TX</v>
      </c>
      <c r="F347" s="7" t="s">
        <v>37</v>
      </c>
      <c r="G347" s="7" t="str">
        <f>IFERROR(INDEX(Chart_of_Accounts!$B$2:$B$18,MATCH(F347,Chart_of_Accounts!$A$2:$A$18,0)),"")</f>
        <v>Inventory</v>
      </c>
      <c r="H347" s="7" t="str">
        <f>IFERROR(INDEX(Chart_of_Accounts!$C$2:$C$18,MATCH(F347,Chart_of_Accounts!$A$2:$A$18,0)),"")</f>
        <v>Asset</v>
      </c>
      <c r="I347" s="9"/>
      <c r="J347" s="9">
        <v>40260</v>
      </c>
      <c r="K347" s="7" t="s">
        <v>149</v>
      </c>
      <c r="L347" s="7" t="s">
        <v>113</v>
      </c>
      <c r="M347" s="7" t="s">
        <v>114</v>
      </c>
      <c r="N347" s="7" t="s">
        <v>86</v>
      </c>
      <c r="O347" s="7" t="str">
        <f>IFERROR(INDEX(Vendors!$B$2:$B$10,MATCH(N347,Vendors!$A$2:$A$10,0)),"")</f>
        <v>Gulf Coast Meat Supply</v>
      </c>
      <c r="P347" s="7" t="s">
        <v>136</v>
      </c>
    </row>
    <row r="348" spans="1:16" x14ac:dyDescent="0.25">
      <c r="A348" s="7">
        <v>174</v>
      </c>
      <c r="B348" s="7" t="s">
        <v>311</v>
      </c>
      <c r="C348" s="8">
        <v>46037</v>
      </c>
      <c r="D348" s="7" t="s">
        <v>82</v>
      </c>
      <c r="E348" s="7" t="str">
        <f>IFERROR(INDEX(Restaurants!$B$2:$B$6,MATCH(D348,Restaurants!$A$2:$A$6,0)),"")</f>
        <v>Trailhead Burger Co. #105 - Houston, TX</v>
      </c>
      <c r="F348" s="7" t="s">
        <v>58</v>
      </c>
      <c r="G348" s="7" t="str">
        <f>IFERROR(INDEX(Chart_of_Accounts!$B$2:$B$18,MATCH(F348,Chart_of_Accounts!$A$2:$A$18,0)),"")</f>
        <v>Labor</v>
      </c>
      <c r="H348" s="7" t="str">
        <f>IFERROR(INDEX(Chart_of_Accounts!$C$2:$C$18,MATCH(F348,Chart_of_Accounts!$A$2:$A$18,0)),"")</f>
        <v>Expense</v>
      </c>
      <c r="I348" s="9">
        <v>34892</v>
      </c>
      <c r="J348" s="9"/>
      <c r="K348" s="7" t="s">
        <v>151</v>
      </c>
      <c r="L348" s="7" t="s">
        <v>32</v>
      </c>
      <c r="M348" s="7" t="s">
        <v>114</v>
      </c>
      <c r="N348" s="7"/>
      <c r="O348" s="7"/>
      <c r="P348" s="7" t="s">
        <v>152</v>
      </c>
    </row>
    <row r="349" spans="1:16" x14ac:dyDescent="0.25">
      <c r="A349" s="7">
        <v>174</v>
      </c>
      <c r="B349" s="7" t="s">
        <v>311</v>
      </c>
      <c r="C349" s="8">
        <v>46037</v>
      </c>
      <c r="D349" s="7" t="s">
        <v>82</v>
      </c>
      <c r="E349" s="7" t="str">
        <f>IFERROR(INDEX(Restaurants!$B$2:$B$6,MATCH(D349,Restaurants!$A$2:$A$6,0)),"")</f>
        <v>Trailhead Burger Co. #105 - Houston, TX</v>
      </c>
      <c r="F349" s="7" t="s">
        <v>31</v>
      </c>
      <c r="G349" s="7" t="str">
        <f>IFERROR(INDEX(Chart_of_Accounts!$B$2:$B$18,MATCH(F349,Chart_of_Accounts!$A$2:$A$18,0)),"")</f>
        <v>Cash</v>
      </c>
      <c r="H349" s="7" t="str">
        <f>IFERROR(INDEX(Chart_of_Accounts!$C$2:$C$18,MATCH(F349,Chart_of_Accounts!$A$2:$A$18,0)),"")</f>
        <v>Asset</v>
      </c>
      <c r="I349" s="9"/>
      <c r="J349" s="9">
        <v>34892</v>
      </c>
      <c r="K349" s="7" t="s">
        <v>151</v>
      </c>
      <c r="L349" s="7" t="s">
        <v>32</v>
      </c>
      <c r="M349" s="7" t="s">
        <v>114</v>
      </c>
      <c r="N349" s="7"/>
      <c r="O349" s="7"/>
      <c r="P349" s="7" t="s">
        <v>152</v>
      </c>
    </row>
    <row r="350" spans="1:16" x14ac:dyDescent="0.25">
      <c r="A350" s="7">
        <v>175</v>
      </c>
      <c r="B350" s="7" t="s">
        <v>312</v>
      </c>
      <c r="C350" s="8">
        <v>46023</v>
      </c>
      <c r="D350" s="7" t="s">
        <v>82</v>
      </c>
      <c r="E350" s="7" t="str">
        <f>IFERROR(INDEX(Restaurants!$B$2:$B$6,MATCH(D350,Restaurants!$A$2:$A$6,0)),"")</f>
        <v>Trailhead Burger Co. #105 - Houston, TX</v>
      </c>
      <c r="F350" s="7" t="s">
        <v>60</v>
      </c>
      <c r="G350" s="7" t="str">
        <f>IFERROR(INDEX(Chart_of_Accounts!$B$2:$B$18,MATCH(F350,Chart_of_Accounts!$A$2:$A$18,0)),"")</f>
        <v>Rent</v>
      </c>
      <c r="H350" s="7" t="str">
        <f>IFERROR(INDEX(Chart_of_Accounts!$C$2:$C$18,MATCH(F350,Chart_of_Accounts!$A$2:$A$18,0)),"")</f>
        <v>Expense</v>
      </c>
      <c r="I350" s="9">
        <v>11000</v>
      </c>
      <c r="J350" s="9"/>
      <c r="K350" s="7" t="s">
        <v>154</v>
      </c>
      <c r="L350" s="7" t="s">
        <v>32</v>
      </c>
      <c r="M350" s="7" t="s">
        <v>114</v>
      </c>
      <c r="N350" s="7" t="s">
        <v>98</v>
      </c>
      <c r="O350" s="7" t="str">
        <f>IFERROR(INDEX(Vendors!$B$2:$B$10,MATCH(N350,Vendors!$A$2:$A$10,0)),"")</f>
        <v>Prime Property Management</v>
      </c>
      <c r="P350" s="7" t="s">
        <v>115</v>
      </c>
    </row>
    <row r="351" spans="1:16" x14ac:dyDescent="0.25">
      <c r="A351" s="7">
        <v>175</v>
      </c>
      <c r="B351" s="7" t="s">
        <v>312</v>
      </c>
      <c r="C351" s="8">
        <v>46023</v>
      </c>
      <c r="D351" s="7" t="s">
        <v>82</v>
      </c>
      <c r="E351" s="7" t="str">
        <f>IFERROR(INDEX(Restaurants!$B$2:$B$6,MATCH(D351,Restaurants!$A$2:$A$6,0)),"")</f>
        <v>Trailhead Burger Co. #105 - Houston, TX</v>
      </c>
      <c r="F351" s="7" t="s">
        <v>31</v>
      </c>
      <c r="G351" s="7" t="str">
        <f>IFERROR(INDEX(Chart_of_Accounts!$B$2:$B$18,MATCH(F351,Chart_of_Accounts!$A$2:$A$18,0)),"")</f>
        <v>Cash</v>
      </c>
      <c r="H351" s="7" t="str">
        <f>IFERROR(INDEX(Chart_of_Accounts!$C$2:$C$18,MATCH(F351,Chart_of_Accounts!$A$2:$A$18,0)),"")</f>
        <v>Asset</v>
      </c>
      <c r="I351" s="9"/>
      <c r="J351" s="9">
        <v>11000</v>
      </c>
      <c r="K351" s="7" t="s">
        <v>154</v>
      </c>
      <c r="L351" s="7" t="s">
        <v>32</v>
      </c>
      <c r="M351" s="7" t="s">
        <v>114</v>
      </c>
      <c r="N351" s="7" t="s">
        <v>98</v>
      </c>
      <c r="O351" s="7" t="str">
        <f>IFERROR(INDEX(Vendors!$B$2:$B$10,MATCH(N351,Vendors!$A$2:$A$10,0)),"")</f>
        <v>Prime Property Management</v>
      </c>
      <c r="P351" s="7" t="s">
        <v>115</v>
      </c>
    </row>
    <row r="352" spans="1:16" x14ac:dyDescent="0.25">
      <c r="A352" s="7">
        <v>176</v>
      </c>
      <c r="B352" s="7" t="s">
        <v>313</v>
      </c>
      <c r="C352" s="8">
        <v>46042</v>
      </c>
      <c r="D352" s="7" t="s">
        <v>82</v>
      </c>
      <c r="E352" s="7" t="str">
        <f>IFERROR(INDEX(Restaurants!$B$2:$B$6,MATCH(D352,Restaurants!$A$2:$A$6,0)),"")</f>
        <v>Trailhead Burger Co. #105 - Houston, TX</v>
      </c>
      <c r="F352" s="7" t="s">
        <v>62</v>
      </c>
      <c r="G352" s="7" t="str">
        <f>IFERROR(INDEX(Chart_of_Accounts!$B$2:$B$18,MATCH(F352,Chart_of_Accounts!$A$2:$A$18,0)),"")</f>
        <v>Utilities</v>
      </c>
      <c r="H352" s="7" t="str">
        <f>IFERROR(INDEX(Chart_of_Accounts!$C$2:$C$18,MATCH(F352,Chart_of_Accounts!$A$2:$A$18,0)),"")</f>
        <v>Expense</v>
      </c>
      <c r="I352" s="9">
        <v>2900</v>
      </c>
      <c r="J352" s="9"/>
      <c r="K352" s="7" t="s">
        <v>156</v>
      </c>
      <c r="L352" s="7" t="s">
        <v>32</v>
      </c>
      <c r="M352" s="7" t="s">
        <v>114</v>
      </c>
      <c r="N352" s="7" t="s">
        <v>96</v>
      </c>
      <c r="O352" s="7" t="str">
        <f>IFERROR(INDEX(Vendors!$B$2:$B$10,MATCH(N352,Vendors!$A$2:$A$10,0)),"")</f>
        <v>CityWide Utilities</v>
      </c>
      <c r="P352" s="7" t="s">
        <v>157</v>
      </c>
    </row>
    <row r="353" spans="1:16" x14ac:dyDescent="0.25">
      <c r="A353" s="7">
        <v>176</v>
      </c>
      <c r="B353" s="7" t="s">
        <v>313</v>
      </c>
      <c r="C353" s="8">
        <v>46042</v>
      </c>
      <c r="D353" s="7" t="s">
        <v>82</v>
      </c>
      <c r="E353" s="7" t="str">
        <f>IFERROR(INDEX(Restaurants!$B$2:$B$6,MATCH(D353,Restaurants!$A$2:$A$6,0)),"")</f>
        <v>Trailhead Burger Co. #105 - Houston, TX</v>
      </c>
      <c r="F353" s="7" t="s">
        <v>31</v>
      </c>
      <c r="G353" s="7" t="str">
        <f>IFERROR(INDEX(Chart_of_Accounts!$B$2:$B$18,MATCH(F353,Chart_of_Accounts!$A$2:$A$18,0)),"")</f>
        <v>Cash</v>
      </c>
      <c r="H353" s="7" t="str">
        <f>IFERROR(INDEX(Chart_of_Accounts!$C$2:$C$18,MATCH(F353,Chart_of_Accounts!$A$2:$A$18,0)),"")</f>
        <v>Asset</v>
      </c>
      <c r="I353" s="9"/>
      <c r="J353" s="9">
        <v>2900</v>
      </c>
      <c r="K353" s="7" t="s">
        <v>156</v>
      </c>
      <c r="L353" s="7" t="s">
        <v>32</v>
      </c>
      <c r="M353" s="7" t="s">
        <v>114</v>
      </c>
      <c r="N353" s="7" t="s">
        <v>96</v>
      </c>
      <c r="O353" s="7" t="str">
        <f>IFERROR(INDEX(Vendors!$B$2:$B$10,MATCH(N353,Vendors!$A$2:$A$10,0)),"")</f>
        <v>CityWide Utilities</v>
      </c>
      <c r="P353" s="7" t="s">
        <v>157</v>
      </c>
    </row>
    <row r="354" spans="1:16" x14ac:dyDescent="0.25">
      <c r="A354" s="7">
        <v>177</v>
      </c>
      <c r="B354" s="7" t="s">
        <v>314</v>
      </c>
      <c r="C354" s="8">
        <v>46050</v>
      </c>
      <c r="D354" s="7" t="s">
        <v>82</v>
      </c>
      <c r="E354" s="7" t="str">
        <f>IFERROR(INDEX(Restaurants!$B$2:$B$6,MATCH(D354,Restaurants!$A$2:$A$6,0)),"")</f>
        <v>Trailhead Burger Co. #105 - Houston, TX</v>
      </c>
      <c r="F354" s="7" t="s">
        <v>66</v>
      </c>
      <c r="G354" s="7" t="str">
        <f>IFERROR(INDEX(Chart_of_Accounts!$B$2:$B$18,MATCH(F354,Chart_of_Accounts!$A$2:$A$18,0)),"")</f>
        <v>CC Processing Fees</v>
      </c>
      <c r="H354" s="7" t="str">
        <f>IFERROR(INDEX(Chart_of_Accounts!$C$2:$C$18,MATCH(F354,Chart_of_Accounts!$A$2:$A$18,0)),"")</f>
        <v>Expense</v>
      </c>
      <c r="I354" s="9">
        <v>3355</v>
      </c>
      <c r="J354" s="9"/>
      <c r="K354" s="7" t="s">
        <v>159</v>
      </c>
      <c r="L354" s="7" t="s">
        <v>32</v>
      </c>
      <c r="M354" s="7" t="s">
        <v>114</v>
      </c>
      <c r="N354" s="7"/>
      <c r="O354" s="7"/>
      <c r="P354" s="7" t="s">
        <v>115</v>
      </c>
    </row>
    <row r="355" spans="1:16" x14ac:dyDescent="0.25">
      <c r="A355" s="7">
        <v>177</v>
      </c>
      <c r="B355" s="7" t="s">
        <v>314</v>
      </c>
      <c r="C355" s="8">
        <v>46050</v>
      </c>
      <c r="D355" s="7" t="s">
        <v>82</v>
      </c>
      <c r="E355" s="7" t="str">
        <f>IFERROR(INDEX(Restaurants!$B$2:$B$6,MATCH(D355,Restaurants!$A$2:$A$6,0)),"")</f>
        <v>Trailhead Burger Co. #105 - Houston, TX</v>
      </c>
      <c r="F355" s="7" t="s">
        <v>31</v>
      </c>
      <c r="G355" s="7" t="str">
        <f>IFERROR(INDEX(Chart_of_Accounts!$B$2:$B$18,MATCH(F355,Chart_of_Accounts!$A$2:$A$18,0)),"")</f>
        <v>Cash</v>
      </c>
      <c r="H355" s="7" t="str">
        <f>IFERROR(INDEX(Chart_of_Accounts!$C$2:$C$18,MATCH(F355,Chart_of_Accounts!$A$2:$A$18,0)),"")</f>
        <v>Asset</v>
      </c>
      <c r="I355" s="9"/>
      <c r="J355" s="9">
        <v>3355</v>
      </c>
      <c r="K355" s="7" t="s">
        <v>159</v>
      </c>
      <c r="L355" s="7" t="s">
        <v>32</v>
      </c>
      <c r="M355" s="7" t="s">
        <v>114</v>
      </c>
      <c r="N355" s="7"/>
      <c r="O355" s="7"/>
      <c r="P355" s="7" t="s">
        <v>115</v>
      </c>
    </row>
    <row r="356" spans="1:16" x14ac:dyDescent="0.25">
      <c r="A356" s="7">
        <v>178</v>
      </c>
      <c r="B356" s="7" t="s">
        <v>315</v>
      </c>
      <c r="C356" s="8">
        <v>46034</v>
      </c>
      <c r="D356" s="7" t="s">
        <v>82</v>
      </c>
      <c r="E356" s="7" t="str">
        <f>IFERROR(INDEX(Restaurants!$B$2:$B$6,MATCH(D356,Restaurants!$A$2:$A$6,0)),"")</f>
        <v>Trailhead Burger Co. #105 - Houston, TX</v>
      </c>
      <c r="F356" s="7" t="s">
        <v>68</v>
      </c>
      <c r="G356" s="7" t="str">
        <f>IFERROR(INDEX(Chart_of_Accounts!$B$2:$B$18,MATCH(F356,Chart_of_Accounts!$A$2:$A$18,0)),"")</f>
        <v>Marketing</v>
      </c>
      <c r="H356" s="7" t="str">
        <f>IFERROR(INDEX(Chart_of_Accounts!$C$2:$C$18,MATCH(F356,Chart_of_Accounts!$A$2:$A$18,0)),"")</f>
        <v>Expense</v>
      </c>
      <c r="I356" s="9">
        <v>4026</v>
      </c>
      <c r="J356" s="9"/>
      <c r="K356" s="7" t="s">
        <v>161</v>
      </c>
      <c r="L356" s="7" t="s">
        <v>32</v>
      </c>
      <c r="M356" s="7" t="s">
        <v>114</v>
      </c>
      <c r="N356" s="7" t="s">
        <v>100</v>
      </c>
      <c r="O356" s="7" t="str">
        <f>IFERROR(INDEX(Vendors!$B$2:$B$10,MATCH(N356,Vendors!$A$2:$A$10,0)),"")</f>
        <v>BrightSign Marketing Agency</v>
      </c>
      <c r="P356" s="7" t="s">
        <v>69</v>
      </c>
    </row>
    <row r="357" spans="1:16" x14ac:dyDescent="0.25">
      <c r="A357" s="7">
        <v>178</v>
      </c>
      <c r="B357" s="7" t="s">
        <v>315</v>
      </c>
      <c r="C357" s="8">
        <v>46034</v>
      </c>
      <c r="D357" s="7" t="s">
        <v>82</v>
      </c>
      <c r="E357" s="7" t="str">
        <f>IFERROR(INDEX(Restaurants!$B$2:$B$6,MATCH(D357,Restaurants!$A$2:$A$6,0)),"")</f>
        <v>Trailhead Burger Co. #105 - Houston, TX</v>
      </c>
      <c r="F357" s="7" t="s">
        <v>31</v>
      </c>
      <c r="G357" s="7" t="str">
        <f>IFERROR(INDEX(Chart_of_Accounts!$B$2:$B$18,MATCH(F357,Chart_of_Accounts!$A$2:$A$18,0)),"")</f>
        <v>Cash</v>
      </c>
      <c r="H357" s="7" t="str">
        <f>IFERROR(INDEX(Chart_of_Accounts!$C$2:$C$18,MATCH(F357,Chart_of_Accounts!$A$2:$A$18,0)),"")</f>
        <v>Asset</v>
      </c>
      <c r="I357" s="9"/>
      <c r="J357" s="9">
        <v>4026</v>
      </c>
      <c r="K357" s="7" t="s">
        <v>161</v>
      </c>
      <c r="L357" s="7" t="s">
        <v>32</v>
      </c>
      <c r="M357" s="7" t="s">
        <v>114</v>
      </c>
      <c r="N357" s="7" t="s">
        <v>100</v>
      </c>
      <c r="O357" s="7" t="str">
        <f>IFERROR(INDEX(Vendors!$B$2:$B$10,MATCH(N357,Vendors!$A$2:$A$10,0)),"")</f>
        <v>BrightSign Marketing Agency</v>
      </c>
      <c r="P357" s="7" t="s">
        <v>69</v>
      </c>
    </row>
    <row r="358" spans="1:16" x14ac:dyDescent="0.25">
      <c r="A358" s="7">
        <v>179</v>
      </c>
      <c r="B358" s="7" t="s">
        <v>316</v>
      </c>
      <c r="C358" s="8">
        <v>46052</v>
      </c>
      <c r="D358" s="7" t="s">
        <v>82</v>
      </c>
      <c r="E358" s="7" t="str">
        <f>IFERROR(INDEX(Restaurants!$B$2:$B$6,MATCH(D358,Restaurants!$A$2:$A$6,0)),"")</f>
        <v>Trailhead Burger Co. #105 - Houston, TX</v>
      </c>
      <c r="F358" s="7" t="s">
        <v>70</v>
      </c>
      <c r="G358" s="7" t="str">
        <f>IFERROR(INDEX(Chart_of_Accounts!$B$2:$B$18,MATCH(F358,Chart_of_Accounts!$A$2:$A$18,0)),"")</f>
        <v>Franchise Fees</v>
      </c>
      <c r="H358" s="7" t="str">
        <f>IFERROR(INDEX(Chart_of_Accounts!$C$2:$C$18,MATCH(F358,Chart_of_Accounts!$A$2:$A$18,0)),"")</f>
        <v>Expense</v>
      </c>
      <c r="I358" s="9">
        <v>5368</v>
      </c>
      <c r="J358" s="9"/>
      <c r="K358" s="7" t="s">
        <v>163</v>
      </c>
      <c r="L358" s="7" t="s">
        <v>32</v>
      </c>
      <c r="M358" s="7" t="s">
        <v>114</v>
      </c>
      <c r="N358" s="7" t="s">
        <v>102</v>
      </c>
      <c r="O358" s="7" t="str">
        <f>IFERROR(INDEX(Vendors!$B$2:$B$10,MATCH(N358,Vendors!$A$2:$A$10,0)),"")</f>
        <v>Trailhead Burger Co. - Corporate</v>
      </c>
      <c r="P358" s="7" t="s">
        <v>115</v>
      </c>
    </row>
    <row r="359" spans="1:16" x14ac:dyDescent="0.25">
      <c r="A359" s="7">
        <v>179</v>
      </c>
      <c r="B359" s="7" t="s">
        <v>316</v>
      </c>
      <c r="C359" s="8">
        <v>46052</v>
      </c>
      <c r="D359" s="7" t="s">
        <v>82</v>
      </c>
      <c r="E359" s="7" t="str">
        <f>IFERROR(INDEX(Restaurants!$B$2:$B$6,MATCH(D359,Restaurants!$A$2:$A$6,0)),"")</f>
        <v>Trailhead Burger Co. #105 - Houston, TX</v>
      </c>
      <c r="F359" s="7" t="s">
        <v>31</v>
      </c>
      <c r="G359" s="7" t="str">
        <f>IFERROR(INDEX(Chart_of_Accounts!$B$2:$B$18,MATCH(F359,Chart_of_Accounts!$A$2:$A$18,0)),"")</f>
        <v>Cash</v>
      </c>
      <c r="H359" s="7" t="str">
        <f>IFERROR(INDEX(Chart_of_Accounts!$C$2:$C$18,MATCH(F359,Chart_of_Accounts!$A$2:$A$18,0)),"")</f>
        <v>Asset</v>
      </c>
      <c r="I359" s="9"/>
      <c r="J359" s="9">
        <v>5368</v>
      </c>
      <c r="K359" s="7" t="s">
        <v>163</v>
      </c>
      <c r="L359" s="7" t="s">
        <v>32</v>
      </c>
      <c r="M359" s="7" t="s">
        <v>114</v>
      </c>
      <c r="N359" s="7" t="s">
        <v>102</v>
      </c>
      <c r="O359" s="7" t="str">
        <f>IFERROR(INDEX(Vendors!$B$2:$B$10,MATCH(N359,Vendors!$A$2:$A$10,0)),"")</f>
        <v>Trailhead Burger Co. - Corporate</v>
      </c>
      <c r="P359" s="7" t="s">
        <v>115</v>
      </c>
    </row>
    <row r="360" spans="1:16" x14ac:dyDescent="0.25">
      <c r="A360" s="7">
        <v>180</v>
      </c>
      <c r="B360" s="7" t="s">
        <v>317</v>
      </c>
      <c r="C360" s="8">
        <v>46058</v>
      </c>
      <c r="D360" s="7" t="s">
        <v>82</v>
      </c>
      <c r="E360" s="7" t="str">
        <f>IFERROR(INDEX(Restaurants!$B$2:$B$6,MATCH(D360,Restaurants!$A$2:$A$6,0)),"")</f>
        <v>Trailhead Burger Co. #105 - Houston, TX</v>
      </c>
      <c r="F360" s="7" t="s">
        <v>31</v>
      </c>
      <c r="G360" s="7" t="str">
        <f>IFERROR(INDEX(Chart_of_Accounts!$B$2:$B$18,MATCH(F360,Chart_of_Accounts!$A$2:$A$18,0)),"")</f>
        <v>Cash</v>
      </c>
      <c r="H360" s="7" t="str">
        <f>IFERROR(INDEX(Chart_of_Accounts!$C$2:$C$18,MATCH(F360,Chart_of_Accounts!$A$2:$A$18,0)),"")</f>
        <v>Asset</v>
      </c>
      <c r="I360" s="9">
        <v>112200</v>
      </c>
      <c r="J360" s="9"/>
      <c r="K360" s="7" t="s">
        <v>134</v>
      </c>
      <c r="L360" s="7" t="s">
        <v>32</v>
      </c>
      <c r="M360" s="7" t="s">
        <v>135</v>
      </c>
      <c r="N360" s="7"/>
      <c r="O360" s="7"/>
      <c r="P360" s="7" t="s">
        <v>136</v>
      </c>
    </row>
    <row r="361" spans="1:16" x14ac:dyDescent="0.25">
      <c r="A361" s="7">
        <v>180</v>
      </c>
      <c r="B361" s="7" t="s">
        <v>317</v>
      </c>
      <c r="C361" s="8">
        <v>46058</v>
      </c>
      <c r="D361" s="7" t="s">
        <v>82</v>
      </c>
      <c r="E361" s="7" t="str">
        <f>IFERROR(INDEX(Restaurants!$B$2:$B$6,MATCH(D361,Restaurants!$A$2:$A$6,0)),"")</f>
        <v>Trailhead Burger Co. #105 - Houston, TX</v>
      </c>
      <c r="F361" s="7" t="s">
        <v>50</v>
      </c>
      <c r="G361" s="7" t="str">
        <f>IFERROR(INDEX(Chart_of_Accounts!$B$2:$B$18,MATCH(F361,Chart_of_Accounts!$A$2:$A$18,0)),"")</f>
        <v>Restaurant Sales</v>
      </c>
      <c r="H361" s="7" t="str">
        <f>IFERROR(INDEX(Chart_of_Accounts!$C$2:$C$18,MATCH(F361,Chart_of_Accounts!$A$2:$A$18,0)),"")</f>
        <v>Revenue</v>
      </c>
      <c r="I361" s="9"/>
      <c r="J361" s="9">
        <v>112200</v>
      </c>
      <c r="K361" s="7" t="s">
        <v>134</v>
      </c>
      <c r="L361" s="7" t="s">
        <v>32</v>
      </c>
      <c r="M361" s="7" t="s">
        <v>135</v>
      </c>
      <c r="N361" s="7"/>
      <c r="O361" s="7"/>
      <c r="P361" s="7" t="s">
        <v>136</v>
      </c>
    </row>
    <row r="362" spans="1:16" x14ac:dyDescent="0.25">
      <c r="A362" s="7">
        <v>181</v>
      </c>
      <c r="B362" s="7" t="s">
        <v>318</v>
      </c>
      <c r="C362" s="8">
        <v>46060</v>
      </c>
      <c r="D362" s="7" t="s">
        <v>82</v>
      </c>
      <c r="E362" s="7" t="str">
        <f>IFERROR(INDEX(Restaurants!$B$2:$B$6,MATCH(D362,Restaurants!$A$2:$A$6,0)),"")</f>
        <v>Trailhead Burger Co. #105 - Houston, TX</v>
      </c>
      <c r="F362" s="7" t="s">
        <v>35</v>
      </c>
      <c r="G362" s="7" t="str">
        <f>IFERROR(INDEX(Chart_of_Accounts!$B$2:$B$18,MATCH(F362,Chart_of_Accounts!$A$2:$A$18,0)),"")</f>
        <v>Accounts Receivable</v>
      </c>
      <c r="H362" s="7" t="str">
        <f>IFERROR(INDEX(Chart_of_Accounts!$C$2:$C$18,MATCH(F362,Chart_of_Accounts!$A$2:$A$18,0)),"")</f>
        <v>Asset</v>
      </c>
      <c r="I362" s="9">
        <v>24684</v>
      </c>
      <c r="J362" s="9"/>
      <c r="K362" s="7" t="s">
        <v>138</v>
      </c>
      <c r="L362" s="7" t="s">
        <v>139</v>
      </c>
      <c r="M362" s="7" t="s">
        <v>140</v>
      </c>
      <c r="N362" s="7" t="s">
        <v>94</v>
      </c>
      <c r="O362" s="7" t="str">
        <f>IFERROR(INDEX(Vendors!$B$2:$B$10,MATCH(N362,Vendors!$A$2:$A$10,0)),"")</f>
        <v>QuickDash Delivery Platform</v>
      </c>
      <c r="P362" s="7" t="s">
        <v>136</v>
      </c>
    </row>
    <row r="363" spans="1:16" x14ac:dyDescent="0.25">
      <c r="A363" s="7">
        <v>181</v>
      </c>
      <c r="B363" s="7" t="s">
        <v>318</v>
      </c>
      <c r="C363" s="8">
        <v>46060</v>
      </c>
      <c r="D363" s="7" t="s">
        <v>82</v>
      </c>
      <c r="E363" s="7" t="str">
        <f>IFERROR(INDEX(Restaurants!$B$2:$B$6,MATCH(D363,Restaurants!$A$2:$A$6,0)),"")</f>
        <v>Trailhead Burger Co. #105 - Houston, TX</v>
      </c>
      <c r="F363" s="7" t="s">
        <v>53</v>
      </c>
      <c r="G363" s="7" t="str">
        <f>IFERROR(INDEX(Chart_of_Accounts!$B$2:$B$18,MATCH(F363,Chart_of_Accounts!$A$2:$A$18,0)),"")</f>
        <v>Delivery Sales</v>
      </c>
      <c r="H363" s="7" t="str">
        <f>IFERROR(INDEX(Chart_of_Accounts!$C$2:$C$18,MATCH(F363,Chart_of_Accounts!$A$2:$A$18,0)),"")</f>
        <v>Revenue</v>
      </c>
      <c r="I363" s="9"/>
      <c r="J363" s="9">
        <v>24684</v>
      </c>
      <c r="K363" s="7" t="s">
        <v>138</v>
      </c>
      <c r="L363" s="7" t="s">
        <v>139</v>
      </c>
      <c r="M363" s="7" t="s">
        <v>140</v>
      </c>
      <c r="N363" s="7" t="s">
        <v>94</v>
      </c>
      <c r="O363" s="7" t="str">
        <f>IFERROR(INDEX(Vendors!$B$2:$B$10,MATCH(N363,Vendors!$A$2:$A$10,0)),"")</f>
        <v>QuickDash Delivery Platform</v>
      </c>
      <c r="P363" s="7" t="s">
        <v>136</v>
      </c>
    </row>
    <row r="364" spans="1:16" x14ac:dyDescent="0.25">
      <c r="A364" s="7">
        <v>182</v>
      </c>
      <c r="B364" s="7" t="s">
        <v>319</v>
      </c>
      <c r="C364" s="8">
        <v>46063</v>
      </c>
      <c r="D364" s="7" t="s">
        <v>82</v>
      </c>
      <c r="E364" s="7" t="str">
        <f>IFERROR(INDEX(Restaurants!$B$2:$B$6,MATCH(D364,Restaurants!$A$2:$A$6,0)),"")</f>
        <v>Trailhead Burger Co. #105 - Houston, TX</v>
      </c>
      <c r="F364" s="7" t="s">
        <v>31</v>
      </c>
      <c r="G364" s="7" t="str">
        <f>IFERROR(INDEX(Chart_of_Accounts!$B$2:$B$18,MATCH(F364,Chart_of_Accounts!$A$2:$A$18,0)),"")</f>
        <v>Cash</v>
      </c>
      <c r="H364" s="7" t="str">
        <f>IFERROR(INDEX(Chart_of_Accounts!$C$2:$C$18,MATCH(F364,Chart_of_Accounts!$A$2:$A$18,0)),"")</f>
        <v>Asset</v>
      </c>
      <c r="I364" s="9">
        <v>24684</v>
      </c>
      <c r="J364" s="9"/>
      <c r="K364" s="7" t="s">
        <v>142</v>
      </c>
      <c r="L364" s="7" t="s">
        <v>139</v>
      </c>
      <c r="M364" s="7" t="s">
        <v>140</v>
      </c>
      <c r="N364" s="7" t="s">
        <v>94</v>
      </c>
      <c r="O364" s="7" t="str">
        <f>IFERROR(INDEX(Vendors!$B$2:$B$10,MATCH(N364,Vendors!$A$2:$A$10,0)),"")</f>
        <v>QuickDash Delivery Platform</v>
      </c>
      <c r="P364" s="7" t="s">
        <v>136</v>
      </c>
    </row>
    <row r="365" spans="1:16" x14ac:dyDescent="0.25">
      <c r="A365" s="7">
        <v>182</v>
      </c>
      <c r="B365" s="7" t="s">
        <v>319</v>
      </c>
      <c r="C365" s="8">
        <v>46063</v>
      </c>
      <c r="D365" s="7" t="s">
        <v>82</v>
      </c>
      <c r="E365" s="7" t="str">
        <f>IFERROR(INDEX(Restaurants!$B$2:$B$6,MATCH(D365,Restaurants!$A$2:$A$6,0)),"")</f>
        <v>Trailhead Burger Co. #105 - Houston, TX</v>
      </c>
      <c r="F365" s="7" t="s">
        <v>35</v>
      </c>
      <c r="G365" s="7" t="str">
        <f>IFERROR(INDEX(Chart_of_Accounts!$B$2:$B$18,MATCH(F365,Chart_of_Accounts!$A$2:$A$18,0)),"")</f>
        <v>Accounts Receivable</v>
      </c>
      <c r="H365" s="7" t="str">
        <f>IFERROR(INDEX(Chart_of_Accounts!$C$2:$C$18,MATCH(F365,Chart_of_Accounts!$A$2:$A$18,0)),"")</f>
        <v>Asset</v>
      </c>
      <c r="I365" s="9"/>
      <c r="J365" s="9">
        <v>24684</v>
      </c>
      <c r="K365" s="7" t="s">
        <v>142</v>
      </c>
      <c r="L365" s="7" t="s">
        <v>139</v>
      </c>
      <c r="M365" s="7" t="s">
        <v>140</v>
      </c>
      <c r="N365" s="7" t="s">
        <v>94</v>
      </c>
      <c r="O365" s="7" t="str">
        <f>IFERROR(INDEX(Vendors!$B$2:$B$10,MATCH(N365,Vendors!$A$2:$A$10,0)),"")</f>
        <v>QuickDash Delivery Platform</v>
      </c>
      <c r="P365" s="7" t="s">
        <v>136</v>
      </c>
    </row>
    <row r="366" spans="1:16" x14ac:dyDescent="0.25">
      <c r="A366" s="7">
        <v>183</v>
      </c>
      <c r="B366" s="7" t="s">
        <v>320</v>
      </c>
      <c r="C366" s="8">
        <v>46063</v>
      </c>
      <c r="D366" s="7" t="s">
        <v>82</v>
      </c>
      <c r="E366" s="7" t="str">
        <f>IFERROR(INDEX(Restaurants!$B$2:$B$6,MATCH(D366,Restaurants!$A$2:$A$6,0)),"")</f>
        <v>Trailhead Burger Co. #105 - Houston, TX</v>
      </c>
      <c r="F366" s="7" t="s">
        <v>64</v>
      </c>
      <c r="G366" s="7" t="str">
        <f>IFERROR(INDEX(Chart_of_Accounts!$B$2:$B$18,MATCH(F366,Chart_of_Accounts!$A$2:$A$18,0)),"")</f>
        <v>Delivery Fees</v>
      </c>
      <c r="H366" s="7" t="str">
        <f>IFERROR(INDEX(Chart_of_Accounts!$C$2:$C$18,MATCH(F366,Chart_of_Accounts!$A$2:$A$18,0)),"")</f>
        <v>Expense</v>
      </c>
      <c r="I366" s="9">
        <v>3702.6</v>
      </c>
      <c r="J366" s="9"/>
      <c r="K366" s="7" t="s">
        <v>144</v>
      </c>
      <c r="L366" s="7" t="s">
        <v>32</v>
      </c>
      <c r="M366" s="7" t="s">
        <v>140</v>
      </c>
      <c r="N366" s="7" t="s">
        <v>94</v>
      </c>
      <c r="O366" s="7" t="str">
        <f>IFERROR(INDEX(Vendors!$B$2:$B$10,MATCH(N366,Vendors!$A$2:$A$10,0)),"")</f>
        <v>QuickDash Delivery Platform</v>
      </c>
      <c r="P366" s="7" t="s">
        <v>136</v>
      </c>
    </row>
    <row r="367" spans="1:16" x14ac:dyDescent="0.25">
      <c r="A367" s="7">
        <v>183</v>
      </c>
      <c r="B367" s="7" t="s">
        <v>320</v>
      </c>
      <c r="C367" s="8">
        <v>46063</v>
      </c>
      <c r="D367" s="7" t="s">
        <v>82</v>
      </c>
      <c r="E367" s="7" t="str">
        <f>IFERROR(INDEX(Restaurants!$B$2:$B$6,MATCH(D367,Restaurants!$A$2:$A$6,0)),"")</f>
        <v>Trailhead Burger Co. #105 - Houston, TX</v>
      </c>
      <c r="F367" s="7" t="s">
        <v>31</v>
      </c>
      <c r="G367" s="7" t="str">
        <f>IFERROR(INDEX(Chart_of_Accounts!$B$2:$B$18,MATCH(F367,Chart_of_Accounts!$A$2:$A$18,0)),"")</f>
        <v>Cash</v>
      </c>
      <c r="H367" s="7" t="str">
        <f>IFERROR(INDEX(Chart_of_Accounts!$C$2:$C$18,MATCH(F367,Chart_of_Accounts!$A$2:$A$18,0)),"")</f>
        <v>Asset</v>
      </c>
      <c r="I367" s="9"/>
      <c r="J367" s="9">
        <v>3702.6</v>
      </c>
      <c r="K367" s="7" t="s">
        <v>144</v>
      </c>
      <c r="L367" s="7" t="s">
        <v>32</v>
      </c>
      <c r="M367" s="7" t="s">
        <v>140</v>
      </c>
      <c r="N367" s="7" t="s">
        <v>94</v>
      </c>
      <c r="O367" s="7" t="str">
        <f>IFERROR(INDEX(Vendors!$B$2:$B$10,MATCH(N367,Vendors!$A$2:$A$10,0)),"")</f>
        <v>QuickDash Delivery Platform</v>
      </c>
      <c r="P367" s="7" t="s">
        <v>136</v>
      </c>
    </row>
    <row r="368" spans="1:16" x14ac:dyDescent="0.25">
      <c r="A368" s="7">
        <v>184</v>
      </c>
      <c r="B368" s="7" t="s">
        <v>321</v>
      </c>
      <c r="C368" s="8">
        <v>46061</v>
      </c>
      <c r="D368" s="7" t="s">
        <v>82</v>
      </c>
      <c r="E368" s="7" t="str">
        <f>IFERROR(INDEX(Restaurants!$B$2:$B$6,MATCH(D368,Restaurants!$A$2:$A$6,0)),"")</f>
        <v>Trailhead Burger Co. #105 - Houston, TX</v>
      </c>
      <c r="F368" s="7" t="s">
        <v>37</v>
      </c>
      <c r="G368" s="7" t="str">
        <f>IFERROR(INDEX(Chart_of_Accounts!$B$2:$B$18,MATCH(F368,Chart_of_Accounts!$A$2:$A$18,0)),"")</f>
        <v>Inventory</v>
      </c>
      <c r="H368" s="7" t="str">
        <f>IFERROR(INDEX(Chart_of_Accounts!$C$2:$C$18,MATCH(F368,Chart_of_Accounts!$A$2:$A$18,0)),"")</f>
        <v>Asset</v>
      </c>
      <c r="I368" s="9">
        <v>43118.46</v>
      </c>
      <c r="J368" s="9"/>
      <c r="K368" s="7" t="s">
        <v>146</v>
      </c>
      <c r="L368" s="7" t="s">
        <v>113</v>
      </c>
      <c r="M368" s="7" t="s">
        <v>114</v>
      </c>
      <c r="N368" s="7" t="s">
        <v>88</v>
      </c>
      <c r="O368" s="7" t="str">
        <f>IFERROR(INDEX(Vendors!$B$2:$B$10,MATCH(N368,Vendors!$A$2:$A$10,0)),"")</f>
        <v>Fresh Produce Partners</v>
      </c>
      <c r="P368" s="7" t="s">
        <v>147</v>
      </c>
    </row>
    <row r="369" spans="1:16" x14ac:dyDescent="0.25">
      <c r="A369" s="7">
        <v>184</v>
      </c>
      <c r="B369" s="7" t="s">
        <v>321</v>
      </c>
      <c r="C369" s="8">
        <v>46061</v>
      </c>
      <c r="D369" s="7" t="s">
        <v>82</v>
      </c>
      <c r="E369" s="7" t="str">
        <f>IFERROR(INDEX(Restaurants!$B$2:$B$6,MATCH(D369,Restaurants!$A$2:$A$6,0)),"")</f>
        <v>Trailhead Burger Co. #105 - Houston, TX</v>
      </c>
      <c r="F369" s="7" t="s">
        <v>41</v>
      </c>
      <c r="G369" s="7" t="str">
        <f>IFERROR(INDEX(Chart_of_Accounts!$B$2:$B$18,MATCH(F369,Chart_of_Accounts!$A$2:$A$18,0)),"")</f>
        <v>Accounts Payable</v>
      </c>
      <c r="H369" s="7" t="str">
        <f>IFERROR(INDEX(Chart_of_Accounts!$C$2:$C$18,MATCH(F369,Chart_of_Accounts!$A$2:$A$18,0)),"")</f>
        <v>Liability</v>
      </c>
      <c r="I369" s="9"/>
      <c r="J369" s="9">
        <v>43118.46</v>
      </c>
      <c r="K369" s="7" t="s">
        <v>146</v>
      </c>
      <c r="L369" s="7" t="s">
        <v>113</v>
      </c>
      <c r="M369" s="7" t="s">
        <v>114</v>
      </c>
      <c r="N369" s="7" t="s">
        <v>88</v>
      </c>
      <c r="O369" s="7" t="str">
        <f>IFERROR(INDEX(Vendors!$B$2:$B$10,MATCH(N369,Vendors!$A$2:$A$10,0)),"")</f>
        <v>Fresh Produce Partners</v>
      </c>
      <c r="P369" s="7" t="s">
        <v>147</v>
      </c>
    </row>
    <row r="370" spans="1:16" x14ac:dyDescent="0.25">
      <c r="A370" s="7">
        <v>185</v>
      </c>
      <c r="B370" s="7" t="s">
        <v>322</v>
      </c>
      <c r="C370" s="8">
        <v>46081</v>
      </c>
      <c r="D370" s="7" t="s">
        <v>82</v>
      </c>
      <c r="E370" s="7" t="str">
        <f>IFERROR(INDEX(Restaurants!$B$2:$B$6,MATCH(D370,Restaurants!$A$2:$A$6,0)),"")</f>
        <v>Trailhead Burger Co. #105 - Houston, TX</v>
      </c>
      <c r="F370" s="7" t="s">
        <v>55</v>
      </c>
      <c r="G370" s="7" t="str">
        <f>IFERROR(INDEX(Chart_of_Accounts!$B$2:$B$18,MATCH(F370,Chart_of_Accounts!$A$2:$A$18,0)),"")</f>
        <v>Food Cost</v>
      </c>
      <c r="H370" s="7" t="str">
        <f>IFERROR(INDEX(Chart_of_Accounts!$C$2:$C$18,MATCH(F370,Chart_of_Accounts!$A$2:$A$18,0)),"")</f>
        <v>Expense</v>
      </c>
      <c r="I370" s="9">
        <v>41065.199999999997</v>
      </c>
      <c r="J370" s="9"/>
      <c r="K370" s="7" t="s">
        <v>149</v>
      </c>
      <c r="L370" s="7" t="s">
        <v>113</v>
      </c>
      <c r="M370" s="7" t="s">
        <v>114</v>
      </c>
      <c r="N370" s="7" t="s">
        <v>88</v>
      </c>
      <c r="O370" s="7" t="str">
        <f>IFERROR(INDEX(Vendors!$B$2:$B$10,MATCH(N370,Vendors!$A$2:$A$10,0)),"")</f>
        <v>Fresh Produce Partners</v>
      </c>
      <c r="P370" s="7" t="s">
        <v>136</v>
      </c>
    </row>
    <row r="371" spans="1:16" x14ac:dyDescent="0.25">
      <c r="A371" s="7">
        <v>185</v>
      </c>
      <c r="B371" s="7" t="s">
        <v>322</v>
      </c>
      <c r="C371" s="8">
        <v>46081</v>
      </c>
      <c r="D371" s="7" t="s">
        <v>82</v>
      </c>
      <c r="E371" s="7" t="str">
        <f>IFERROR(INDEX(Restaurants!$B$2:$B$6,MATCH(D371,Restaurants!$A$2:$A$6,0)),"")</f>
        <v>Trailhead Burger Co. #105 - Houston, TX</v>
      </c>
      <c r="F371" s="7" t="s">
        <v>37</v>
      </c>
      <c r="G371" s="7" t="str">
        <f>IFERROR(INDEX(Chart_of_Accounts!$B$2:$B$18,MATCH(F371,Chart_of_Accounts!$A$2:$A$18,0)),"")</f>
        <v>Inventory</v>
      </c>
      <c r="H371" s="7" t="str">
        <f>IFERROR(INDEX(Chart_of_Accounts!$C$2:$C$18,MATCH(F371,Chart_of_Accounts!$A$2:$A$18,0)),"")</f>
        <v>Asset</v>
      </c>
      <c r="I371" s="9"/>
      <c r="J371" s="9">
        <v>41065.199999999997</v>
      </c>
      <c r="K371" s="7" t="s">
        <v>149</v>
      </c>
      <c r="L371" s="7" t="s">
        <v>113</v>
      </c>
      <c r="M371" s="7" t="s">
        <v>114</v>
      </c>
      <c r="N371" s="7" t="s">
        <v>88</v>
      </c>
      <c r="O371" s="7" t="str">
        <f>IFERROR(INDEX(Vendors!$B$2:$B$10,MATCH(N371,Vendors!$A$2:$A$10,0)),"")</f>
        <v>Fresh Produce Partners</v>
      </c>
      <c r="P371" s="7" t="s">
        <v>136</v>
      </c>
    </row>
    <row r="372" spans="1:16" x14ac:dyDescent="0.25">
      <c r="A372" s="7">
        <v>186</v>
      </c>
      <c r="B372" s="7" t="s">
        <v>323</v>
      </c>
      <c r="C372" s="8">
        <v>46068</v>
      </c>
      <c r="D372" s="7" t="s">
        <v>82</v>
      </c>
      <c r="E372" s="7" t="str">
        <f>IFERROR(INDEX(Restaurants!$B$2:$B$6,MATCH(D372,Restaurants!$A$2:$A$6,0)),"")</f>
        <v>Trailhead Burger Co. #105 - Houston, TX</v>
      </c>
      <c r="F372" s="7" t="s">
        <v>58</v>
      </c>
      <c r="G372" s="7" t="str">
        <f>IFERROR(INDEX(Chart_of_Accounts!$B$2:$B$18,MATCH(F372,Chart_of_Accounts!$A$2:$A$18,0)),"")</f>
        <v>Labor</v>
      </c>
      <c r="H372" s="7" t="str">
        <f>IFERROR(INDEX(Chart_of_Accounts!$C$2:$C$18,MATCH(F372,Chart_of_Accounts!$A$2:$A$18,0)),"")</f>
        <v>Expense</v>
      </c>
      <c r="I372" s="9">
        <v>35589.839999999997</v>
      </c>
      <c r="J372" s="9"/>
      <c r="K372" s="7" t="s">
        <v>151</v>
      </c>
      <c r="L372" s="7" t="s">
        <v>32</v>
      </c>
      <c r="M372" s="7" t="s">
        <v>114</v>
      </c>
      <c r="N372" s="7"/>
      <c r="O372" s="7"/>
      <c r="P372" s="7" t="s">
        <v>152</v>
      </c>
    </row>
    <row r="373" spans="1:16" x14ac:dyDescent="0.25">
      <c r="A373" s="7">
        <v>186</v>
      </c>
      <c r="B373" s="7" t="s">
        <v>323</v>
      </c>
      <c r="C373" s="8">
        <v>46068</v>
      </c>
      <c r="D373" s="7" t="s">
        <v>82</v>
      </c>
      <c r="E373" s="7" t="str">
        <f>IFERROR(INDEX(Restaurants!$B$2:$B$6,MATCH(D373,Restaurants!$A$2:$A$6,0)),"")</f>
        <v>Trailhead Burger Co. #105 - Houston, TX</v>
      </c>
      <c r="F373" s="7" t="s">
        <v>31</v>
      </c>
      <c r="G373" s="7" t="str">
        <f>IFERROR(INDEX(Chart_of_Accounts!$B$2:$B$18,MATCH(F373,Chart_of_Accounts!$A$2:$A$18,0)),"")</f>
        <v>Cash</v>
      </c>
      <c r="H373" s="7" t="str">
        <f>IFERROR(INDEX(Chart_of_Accounts!$C$2:$C$18,MATCH(F373,Chart_of_Accounts!$A$2:$A$18,0)),"")</f>
        <v>Asset</v>
      </c>
      <c r="I373" s="9"/>
      <c r="J373" s="9">
        <v>35589.839999999997</v>
      </c>
      <c r="K373" s="7" t="s">
        <v>151</v>
      </c>
      <c r="L373" s="7" t="s">
        <v>32</v>
      </c>
      <c r="M373" s="7" t="s">
        <v>114</v>
      </c>
      <c r="N373" s="7"/>
      <c r="O373" s="7"/>
      <c r="P373" s="7" t="s">
        <v>152</v>
      </c>
    </row>
    <row r="374" spans="1:16" x14ac:dyDescent="0.25">
      <c r="A374" s="7">
        <v>187</v>
      </c>
      <c r="B374" s="7" t="s">
        <v>324</v>
      </c>
      <c r="C374" s="8">
        <v>46054</v>
      </c>
      <c r="D374" s="7" t="s">
        <v>82</v>
      </c>
      <c r="E374" s="7" t="str">
        <f>IFERROR(INDEX(Restaurants!$B$2:$B$6,MATCH(D374,Restaurants!$A$2:$A$6,0)),"")</f>
        <v>Trailhead Burger Co. #105 - Houston, TX</v>
      </c>
      <c r="F374" s="7" t="s">
        <v>60</v>
      </c>
      <c r="G374" s="7" t="str">
        <f>IFERROR(INDEX(Chart_of_Accounts!$B$2:$B$18,MATCH(F374,Chart_of_Accounts!$A$2:$A$18,0)),"")</f>
        <v>Rent</v>
      </c>
      <c r="H374" s="7" t="str">
        <f>IFERROR(INDEX(Chart_of_Accounts!$C$2:$C$18,MATCH(F374,Chart_of_Accounts!$A$2:$A$18,0)),"")</f>
        <v>Expense</v>
      </c>
      <c r="I374" s="9">
        <v>11000</v>
      </c>
      <c r="J374" s="9"/>
      <c r="K374" s="7" t="s">
        <v>154</v>
      </c>
      <c r="L374" s="7" t="s">
        <v>32</v>
      </c>
      <c r="M374" s="7" t="s">
        <v>114</v>
      </c>
      <c r="N374" s="7" t="s">
        <v>98</v>
      </c>
      <c r="O374" s="7" t="str">
        <f>IFERROR(INDEX(Vendors!$B$2:$B$10,MATCH(N374,Vendors!$A$2:$A$10,0)),"")</f>
        <v>Prime Property Management</v>
      </c>
      <c r="P374" s="7" t="s">
        <v>115</v>
      </c>
    </row>
    <row r="375" spans="1:16" x14ac:dyDescent="0.25">
      <c r="A375" s="7">
        <v>187</v>
      </c>
      <c r="B375" s="7" t="s">
        <v>324</v>
      </c>
      <c r="C375" s="8">
        <v>46054</v>
      </c>
      <c r="D375" s="7" t="s">
        <v>82</v>
      </c>
      <c r="E375" s="7" t="str">
        <f>IFERROR(INDEX(Restaurants!$B$2:$B$6,MATCH(D375,Restaurants!$A$2:$A$6,0)),"")</f>
        <v>Trailhead Burger Co. #105 - Houston, TX</v>
      </c>
      <c r="F375" s="7" t="s">
        <v>31</v>
      </c>
      <c r="G375" s="7" t="str">
        <f>IFERROR(INDEX(Chart_of_Accounts!$B$2:$B$18,MATCH(F375,Chart_of_Accounts!$A$2:$A$18,0)),"")</f>
        <v>Cash</v>
      </c>
      <c r="H375" s="7" t="str">
        <f>IFERROR(INDEX(Chart_of_Accounts!$C$2:$C$18,MATCH(F375,Chart_of_Accounts!$A$2:$A$18,0)),"")</f>
        <v>Asset</v>
      </c>
      <c r="I375" s="9"/>
      <c r="J375" s="9">
        <v>11000</v>
      </c>
      <c r="K375" s="7" t="s">
        <v>154</v>
      </c>
      <c r="L375" s="7" t="s">
        <v>32</v>
      </c>
      <c r="M375" s="7" t="s">
        <v>114</v>
      </c>
      <c r="N375" s="7" t="s">
        <v>98</v>
      </c>
      <c r="O375" s="7" t="str">
        <f>IFERROR(INDEX(Vendors!$B$2:$B$10,MATCH(N375,Vendors!$A$2:$A$10,0)),"")</f>
        <v>Prime Property Management</v>
      </c>
      <c r="P375" s="7" t="s">
        <v>115</v>
      </c>
    </row>
    <row r="376" spans="1:16" x14ac:dyDescent="0.25">
      <c r="A376" s="7">
        <v>188</v>
      </c>
      <c r="B376" s="7" t="s">
        <v>325</v>
      </c>
      <c r="C376" s="8">
        <v>46073</v>
      </c>
      <c r="D376" s="7" t="s">
        <v>82</v>
      </c>
      <c r="E376" s="7" t="str">
        <f>IFERROR(INDEX(Restaurants!$B$2:$B$6,MATCH(D376,Restaurants!$A$2:$A$6,0)),"")</f>
        <v>Trailhead Burger Co. #105 - Houston, TX</v>
      </c>
      <c r="F376" s="7" t="s">
        <v>62</v>
      </c>
      <c r="G376" s="7" t="str">
        <f>IFERROR(INDEX(Chart_of_Accounts!$B$2:$B$18,MATCH(F376,Chart_of_Accounts!$A$2:$A$18,0)),"")</f>
        <v>Utilities</v>
      </c>
      <c r="H376" s="7" t="str">
        <f>IFERROR(INDEX(Chart_of_Accounts!$C$2:$C$18,MATCH(F376,Chart_of_Accounts!$A$2:$A$18,0)),"")</f>
        <v>Expense</v>
      </c>
      <c r="I376" s="9">
        <v>2987</v>
      </c>
      <c r="J376" s="9"/>
      <c r="K376" s="7" t="s">
        <v>156</v>
      </c>
      <c r="L376" s="7" t="s">
        <v>32</v>
      </c>
      <c r="M376" s="7" t="s">
        <v>114</v>
      </c>
      <c r="N376" s="7" t="s">
        <v>96</v>
      </c>
      <c r="O376" s="7" t="str">
        <f>IFERROR(INDEX(Vendors!$B$2:$B$10,MATCH(N376,Vendors!$A$2:$A$10,0)),"")</f>
        <v>CityWide Utilities</v>
      </c>
      <c r="P376" s="7" t="s">
        <v>157</v>
      </c>
    </row>
    <row r="377" spans="1:16" x14ac:dyDescent="0.25">
      <c r="A377" s="7">
        <v>188</v>
      </c>
      <c r="B377" s="7" t="s">
        <v>325</v>
      </c>
      <c r="C377" s="8">
        <v>46073</v>
      </c>
      <c r="D377" s="7" t="s">
        <v>82</v>
      </c>
      <c r="E377" s="7" t="str">
        <f>IFERROR(INDEX(Restaurants!$B$2:$B$6,MATCH(D377,Restaurants!$A$2:$A$6,0)),"")</f>
        <v>Trailhead Burger Co. #105 - Houston, TX</v>
      </c>
      <c r="F377" s="7" t="s">
        <v>31</v>
      </c>
      <c r="G377" s="7" t="str">
        <f>IFERROR(INDEX(Chart_of_Accounts!$B$2:$B$18,MATCH(F377,Chart_of_Accounts!$A$2:$A$18,0)),"")</f>
        <v>Cash</v>
      </c>
      <c r="H377" s="7" t="str">
        <f>IFERROR(INDEX(Chart_of_Accounts!$C$2:$C$18,MATCH(F377,Chart_of_Accounts!$A$2:$A$18,0)),"")</f>
        <v>Asset</v>
      </c>
      <c r="I377" s="9"/>
      <c r="J377" s="9">
        <v>2987</v>
      </c>
      <c r="K377" s="7" t="s">
        <v>156</v>
      </c>
      <c r="L377" s="7" t="s">
        <v>32</v>
      </c>
      <c r="M377" s="7" t="s">
        <v>114</v>
      </c>
      <c r="N377" s="7" t="s">
        <v>96</v>
      </c>
      <c r="O377" s="7" t="str">
        <f>IFERROR(INDEX(Vendors!$B$2:$B$10,MATCH(N377,Vendors!$A$2:$A$10,0)),"")</f>
        <v>CityWide Utilities</v>
      </c>
      <c r="P377" s="7" t="s">
        <v>157</v>
      </c>
    </row>
    <row r="378" spans="1:16" x14ac:dyDescent="0.25">
      <c r="A378" s="7">
        <v>189</v>
      </c>
      <c r="B378" s="7" t="s">
        <v>326</v>
      </c>
      <c r="C378" s="8">
        <v>46081</v>
      </c>
      <c r="D378" s="7" t="s">
        <v>82</v>
      </c>
      <c r="E378" s="7" t="str">
        <f>IFERROR(INDEX(Restaurants!$B$2:$B$6,MATCH(D378,Restaurants!$A$2:$A$6,0)),"")</f>
        <v>Trailhead Burger Co. #105 - Houston, TX</v>
      </c>
      <c r="F378" s="7" t="s">
        <v>66</v>
      </c>
      <c r="G378" s="7" t="str">
        <f>IFERROR(INDEX(Chart_of_Accounts!$B$2:$B$18,MATCH(F378,Chart_of_Accounts!$A$2:$A$18,0)),"")</f>
        <v>CC Processing Fees</v>
      </c>
      <c r="H378" s="7" t="str">
        <f>IFERROR(INDEX(Chart_of_Accounts!$C$2:$C$18,MATCH(F378,Chart_of_Accounts!$A$2:$A$18,0)),"")</f>
        <v>Expense</v>
      </c>
      <c r="I378" s="9">
        <v>3422.1</v>
      </c>
      <c r="J378" s="9"/>
      <c r="K378" s="7" t="s">
        <v>159</v>
      </c>
      <c r="L378" s="7" t="s">
        <v>32</v>
      </c>
      <c r="M378" s="7" t="s">
        <v>114</v>
      </c>
      <c r="N378" s="7"/>
      <c r="O378" s="7"/>
      <c r="P378" s="7" t="s">
        <v>115</v>
      </c>
    </row>
    <row r="379" spans="1:16" x14ac:dyDescent="0.25">
      <c r="A379" s="7">
        <v>189</v>
      </c>
      <c r="B379" s="7" t="s">
        <v>326</v>
      </c>
      <c r="C379" s="8">
        <v>46081</v>
      </c>
      <c r="D379" s="7" t="s">
        <v>82</v>
      </c>
      <c r="E379" s="7" t="str">
        <f>IFERROR(INDEX(Restaurants!$B$2:$B$6,MATCH(D379,Restaurants!$A$2:$A$6,0)),"")</f>
        <v>Trailhead Burger Co. #105 - Houston, TX</v>
      </c>
      <c r="F379" s="7" t="s">
        <v>31</v>
      </c>
      <c r="G379" s="7" t="str">
        <f>IFERROR(INDEX(Chart_of_Accounts!$B$2:$B$18,MATCH(F379,Chart_of_Accounts!$A$2:$A$18,0)),"")</f>
        <v>Cash</v>
      </c>
      <c r="H379" s="7" t="str">
        <f>IFERROR(INDEX(Chart_of_Accounts!$C$2:$C$18,MATCH(F379,Chart_of_Accounts!$A$2:$A$18,0)),"")</f>
        <v>Asset</v>
      </c>
      <c r="I379" s="9"/>
      <c r="J379" s="9">
        <v>3422.1</v>
      </c>
      <c r="K379" s="7" t="s">
        <v>159</v>
      </c>
      <c r="L379" s="7" t="s">
        <v>32</v>
      </c>
      <c r="M379" s="7" t="s">
        <v>114</v>
      </c>
      <c r="N379" s="7"/>
      <c r="O379" s="7"/>
      <c r="P379" s="7" t="s">
        <v>115</v>
      </c>
    </row>
    <row r="380" spans="1:16" x14ac:dyDescent="0.25">
      <c r="A380" s="7">
        <v>190</v>
      </c>
      <c r="B380" s="7" t="s">
        <v>327</v>
      </c>
      <c r="C380" s="8">
        <v>46065</v>
      </c>
      <c r="D380" s="7" t="s">
        <v>82</v>
      </c>
      <c r="E380" s="7" t="str">
        <f>IFERROR(INDEX(Restaurants!$B$2:$B$6,MATCH(D380,Restaurants!$A$2:$A$6,0)),"")</f>
        <v>Trailhead Burger Co. #105 - Houston, TX</v>
      </c>
      <c r="F380" s="7" t="s">
        <v>68</v>
      </c>
      <c r="G380" s="7" t="str">
        <f>IFERROR(INDEX(Chart_of_Accounts!$B$2:$B$18,MATCH(F380,Chart_of_Accounts!$A$2:$A$18,0)),"")</f>
        <v>Marketing</v>
      </c>
      <c r="H380" s="7" t="str">
        <f>IFERROR(INDEX(Chart_of_Accounts!$C$2:$C$18,MATCH(F380,Chart_of_Accounts!$A$2:$A$18,0)),"")</f>
        <v>Expense</v>
      </c>
      <c r="I380" s="9">
        <v>4106.5200000000004</v>
      </c>
      <c r="J380" s="9"/>
      <c r="K380" s="7" t="s">
        <v>161</v>
      </c>
      <c r="L380" s="7" t="s">
        <v>32</v>
      </c>
      <c r="M380" s="7" t="s">
        <v>114</v>
      </c>
      <c r="N380" s="7" t="s">
        <v>100</v>
      </c>
      <c r="O380" s="7" t="str">
        <f>IFERROR(INDEX(Vendors!$B$2:$B$10,MATCH(N380,Vendors!$A$2:$A$10,0)),"")</f>
        <v>BrightSign Marketing Agency</v>
      </c>
      <c r="P380" s="7" t="s">
        <v>69</v>
      </c>
    </row>
    <row r="381" spans="1:16" x14ac:dyDescent="0.25">
      <c r="A381" s="7">
        <v>190</v>
      </c>
      <c r="B381" s="7" t="s">
        <v>327</v>
      </c>
      <c r="C381" s="8">
        <v>46065</v>
      </c>
      <c r="D381" s="7" t="s">
        <v>82</v>
      </c>
      <c r="E381" s="7" t="str">
        <f>IFERROR(INDEX(Restaurants!$B$2:$B$6,MATCH(D381,Restaurants!$A$2:$A$6,0)),"")</f>
        <v>Trailhead Burger Co. #105 - Houston, TX</v>
      </c>
      <c r="F381" s="7" t="s">
        <v>31</v>
      </c>
      <c r="G381" s="7" t="str">
        <f>IFERROR(INDEX(Chart_of_Accounts!$B$2:$B$18,MATCH(F381,Chart_of_Accounts!$A$2:$A$18,0)),"")</f>
        <v>Cash</v>
      </c>
      <c r="H381" s="7" t="str">
        <f>IFERROR(INDEX(Chart_of_Accounts!$C$2:$C$18,MATCH(F381,Chart_of_Accounts!$A$2:$A$18,0)),"")</f>
        <v>Asset</v>
      </c>
      <c r="I381" s="9"/>
      <c r="J381" s="9">
        <v>4106.5200000000004</v>
      </c>
      <c r="K381" s="7" t="s">
        <v>161</v>
      </c>
      <c r="L381" s="7" t="s">
        <v>32</v>
      </c>
      <c r="M381" s="7" t="s">
        <v>114</v>
      </c>
      <c r="N381" s="7" t="s">
        <v>100</v>
      </c>
      <c r="O381" s="7" t="str">
        <f>IFERROR(INDEX(Vendors!$B$2:$B$10,MATCH(N381,Vendors!$A$2:$A$10,0)),"")</f>
        <v>BrightSign Marketing Agency</v>
      </c>
      <c r="P381" s="7" t="s">
        <v>69</v>
      </c>
    </row>
    <row r="382" spans="1:16" x14ac:dyDescent="0.25">
      <c r="A382" s="7">
        <v>191</v>
      </c>
      <c r="B382" s="7" t="s">
        <v>328</v>
      </c>
      <c r="C382" s="8">
        <v>46081</v>
      </c>
      <c r="D382" s="7" t="s">
        <v>82</v>
      </c>
      <c r="E382" s="7" t="str">
        <f>IFERROR(INDEX(Restaurants!$B$2:$B$6,MATCH(D382,Restaurants!$A$2:$A$6,0)),"")</f>
        <v>Trailhead Burger Co. #105 - Houston, TX</v>
      </c>
      <c r="F382" s="7" t="s">
        <v>70</v>
      </c>
      <c r="G382" s="7" t="str">
        <f>IFERROR(INDEX(Chart_of_Accounts!$B$2:$B$18,MATCH(F382,Chart_of_Accounts!$A$2:$A$18,0)),"")</f>
        <v>Franchise Fees</v>
      </c>
      <c r="H382" s="7" t="str">
        <f>IFERROR(INDEX(Chart_of_Accounts!$C$2:$C$18,MATCH(F382,Chart_of_Accounts!$A$2:$A$18,0)),"")</f>
        <v>Expense</v>
      </c>
      <c r="I382" s="9">
        <v>5475.36</v>
      </c>
      <c r="J382" s="9"/>
      <c r="K382" s="7" t="s">
        <v>163</v>
      </c>
      <c r="L382" s="7" t="s">
        <v>32</v>
      </c>
      <c r="M382" s="7" t="s">
        <v>114</v>
      </c>
      <c r="N382" s="7" t="s">
        <v>102</v>
      </c>
      <c r="O382" s="7" t="str">
        <f>IFERROR(INDEX(Vendors!$B$2:$B$10,MATCH(N382,Vendors!$A$2:$A$10,0)),"")</f>
        <v>Trailhead Burger Co. - Corporate</v>
      </c>
      <c r="P382" s="7" t="s">
        <v>115</v>
      </c>
    </row>
    <row r="383" spans="1:16" x14ac:dyDescent="0.25">
      <c r="A383" s="7">
        <v>191</v>
      </c>
      <c r="B383" s="7" t="s">
        <v>328</v>
      </c>
      <c r="C383" s="8">
        <v>46081</v>
      </c>
      <c r="D383" s="7" t="s">
        <v>82</v>
      </c>
      <c r="E383" s="7" t="str">
        <f>IFERROR(INDEX(Restaurants!$B$2:$B$6,MATCH(D383,Restaurants!$A$2:$A$6,0)),"")</f>
        <v>Trailhead Burger Co. #105 - Houston, TX</v>
      </c>
      <c r="F383" s="7" t="s">
        <v>31</v>
      </c>
      <c r="G383" s="7" t="str">
        <f>IFERROR(INDEX(Chart_of_Accounts!$B$2:$B$18,MATCH(F383,Chart_of_Accounts!$A$2:$A$18,0)),"")</f>
        <v>Cash</v>
      </c>
      <c r="H383" s="7" t="str">
        <f>IFERROR(INDEX(Chart_of_Accounts!$C$2:$C$18,MATCH(F383,Chart_of_Accounts!$A$2:$A$18,0)),"")</f>
        <v>Asset</v>
      </c>
      <c r="I383" s="9"/>
      <c r="J383" s="9">
        <v>5475.36</v>
      </c>
      <c r="K383" s="7" t="s">
        <v>163</v>
      </c>
      <c r="L383" s="7" t="s">
        <v>32</v>
      </c>
      <c r="M383" s="7" t="s">
        <v>114</v>
      </c>
      <c r="N383" s="7" t="s">
        <v>102</v>
      </c>
      <c r="O383" s="7" t="str">
        <f>IFERROR(INDEX(Vendors!$B$2:$B$10,MATCH(N383,Vendors!$A$2:$A$10,0)),"")</f>
        <v>Trailhead Burger Co. - Corporate</v>
      </c>
      <c r="P383" s="7" t="s">
        <v>115</v>
      </c>
    </row>
    <row r="384" spans="1:16" x14ac:dyDescent="0.25">
      <c r="A384" s="7">
        <v>192</v>
      </c>
      <c r="B384" s="7" t="s">
        <v>329</v>
      </c>
      <c r="C384" s="8">
        <v>46071</v>
      </c>
      <c r="D384" s="7" t="s">
        <v>82</v>
      </c>
      <c r="E384" s="7" t="str">
        <f>IFERROR(INDEX(Restaurants!$B$2:$B$6,MATCH(D384,Restaurants!$A$2:$A$6,0)),"")</f>
        <v>Trailhead Burger Co. #105 - Houston, TX</v>
      </c>
      <c r="F384" s="7" t="s">
        <v>41</v>
      </c>
      <c r="G384" s="7" t="str">
        <f>IFERROR(INDEX(Chart_of_Accounts!$B$2:$B$18,MATCH(F384,Chart_of_Accounts!$A$2:$A$18,0)),"")</f>
        <v>Accounts Payable</v>
      </c>
      <c r="H384" s="7" t="str">
        <f>IFERROR(INDEX(Chart_of_Accounts!$C$2:$C$18,MATCH(F384,Chart_of_Accounts!$A$2:$A$18,0)),"")</f>
        <v>Liability</v>
      </c>
      <c r="I384" s="9">
        <v>36958.68</v>
      </c>
      <c r="J384" s="9"/>
      <c r="K384" s="7" t="s">
        <v>177</v>
      </c>
      <c r="L384" s="7" t="s">
        <v>32</v>
      </c>
      <c r="M384" s="7" t="s">
        <v>114</v>
      </c>
      <c r="N384" s="7" t="s">
        <v>88</v>
      </c>
      <c r="O384" s="7" t="str">
        <f>IFERROR(INDEX(Vendors!$B$2:$B$10,MATCH(N384,Vendors!$A$2:$A$10,0)),"")</f>
        <v>Fresh Produce Partners</v>
      </c>
      <c r="P384" s="7" t="s">
        <v>115</v>
      </c>
    </row>
    <row r="385" spans="1:16" x14ac:dyDescent="0.25">
      <c r="A385" s="7">
        <v>192</v>
      </c>
      <c r="B385" s="7" t="s">
        <v>329</v>
      </c>
      <c r="C385" s="8">
        <v>46071</v>
      </c>
      <c r="D385" s="7" t="s">
        <v>82</v>
      </c>
      <c r="E385" s="7" t="str">
        <f>IFERROR(INDEX(Restaurants!$B$2:$B$6,MATCH(D385,Restaurants!$A$2:$A$6,0)),"")</f>
        <v>Trailhead Burger Co. #105 - Houston, TX</v>
      </c>
      <c r="F385" s="7" t="s">
        <v>31</v>
      </c>
      <c r="G385" s="7" t="str">
        <f>IFERROR(INDEX(Chart_of_Accounts!$B$2:$B$18,MATCH(F385,Chart_of_Accounts!$A$2:$A$18,0)),"")</f>
        <v>Cash</v>
      </c>
      <c r="H385" s="7" t="str">
        <f>IFERROR(INDEX(Chart_of_Accounts!$C$2:$C$18,MATCH(F385,Chart_of_Accounts!$A$2:$A$18,0)),"")</f>
        <v>Asset</v>
      </c>
      <c r="I385" s="9"/>
      <c r="J385" s="9">
        <v>36958.68</v>
      </c>
      <c r="K385" s="7" t="s">
        <v>177</v>
      </c>
      <c r="L385" s="7" t="s">
        <v>32</v>
      </c>
      <c r="M385" s="7" t="s">
        <v>114</v>
      </c>
      <c r="N385" s="7" t="s">
        <v>88</v>
      </c>
      <c r="O385" s="7" t="str">
        <f>IFERROR(INDEX(Vendors!$B$2:$B$10,MATCH(N385,Vendors!$A$2:$A$10,0)),"")</f>
        <v>Fresh Produce Partners</v>
      </c>
      <c r="P385" s="7" t="s">
        <v>115</v>
      </c>
    </row>
    <row r="386" spans="1:16" x14ac:dyDescent="0.25">
      <c r="A386" s="7">
        <v>193</v>
      </c>
      <c r="B386" s="7" t="s">
        <v>330</v>
      </c>
      <c r="C386" s="8">
        <v>46086</v>
      </c>
      <c r="D386" s="7" t="s">
        <v>82</v>
      </c>
      <c r="E386" s="7" t="str">
        <f>IFERROR(INDEX(Restaurants!$B$2:$B$6,MATCH(D386,Restaurants!$A$2:$A$6,0)),"")</f>
        <v>Trailhead Burger Co. #105 - Houston, TX</v>
      </c>
      <c r="F386" s="7" t="s">
        <v>31</v>
      </c>
      <c r="G386" s="7" t="str">
        <f>IFERROR(INDEX(Chart_of_Accounts!$B$2:$B$18,MATCH(F386,Chart_of_Accounts!$A$2:$A$18,0)),"")</f>
        <v>Cash</v>
      </c>
      <c r="H386" s="7" t="str">
        <f>IFERROR(INDEX(Chart_of_Accounts!$C$2:$C$18,MATCH(F386,Chart_of_Accounts!$A$2:$A$18,0)),"")</f>
        <v>Asset</v>
      </c>
      <c r="I386" s="9">
        <v>114400</v>
      </c>
      <c r="J386" s="9"/>
      <c r="K386" s="7" t="s">
        <v>134</v>
      </c>
      <c r="L386" s="7" t="s">
        <v>32</v>
      </c>
      <c r="M386" s="7" t="s">
        <v>135</v>
      </c>
      <c r="N386" s="7"/>
      <c r="O386" s="7"/>
      <c r="P386" s="7" t="s">
        <v>136</v>
      </c>
    </row>
    <row r="387" spans="1:16" x14ac:dyDescent="0.25">
      <c r="A387" s="7">
        <v>193</v>
      </c>
      <c r="B387" s="7" t="s">
        <v>330</v>
      </c>
      <c r="C387" s="8">
        <v>46086</v>
      </c>
      <c r="D387" s="7" t="s">
        <v>82</v>
      </c>
      <c r="E387" s="7" t="str">
        <f>IFERROR(INDEX(Restaurants!$B$2:$B$6,MATCH(D387,Restaurants!$A$2:$A$6,0)),"")</f>
        <v>Trailhead Burger Co. #105 - Houston, TX</v>
      </c>
      <c r="F387" s="7" t="s">
        <v>50</v>
      </c>
      <c r="G387" s="7" t="str">
        <f>IFERROR(INDEX(Chart_of_Accounts!$B$2:$B$18,MATCH(F387,Chart_of_Accounts!$A$2:$A$18,0)),"")</f>
        <v>Restaurant Sales</v>
      </c>
      <c r="H387" s="7" t="str">
        <f>IFERROR(INDEX(Chart_of_Accounts!$C$2:$C$18,MATCH(F387,Chart_of_Accounts!$A$2:$A$18,0)),"")</f>
        <v>Revenue</v>
      </c>
      <c r="I387" s="9"/>
      <c r="J387" s="9">
        <v>114400</v>
      </c>
      <c r="K387" s="7" t="s">
        <v>134</v>
      </c>
      <c r="L387" s="7" t="s">
        <v>32</v>
      </c>
      <c r="M387" s="7" t="s">
        <v>135</v>
      </c>
      <c r="N387" s="7"/>
      <c r="O387" s="7"/>
      <c r="P387" s="7" t="s">
        <v>136</v>
      </c>
    </row>
    <row r="388" spans="1:16" x14ac:dyDescent="0.25">
      <c r="A388" s="7">
        <v>194</v>
      </c>
      <c r="B388" s="7" t="s">
        <v>331</v>
      </c>
      <c r="C388" s="8">
        <v>46088</v>
      </c>
      <c r="D388" s="7" t="s">
        <v>82</v>
      </c>
      <c r="E388" s="7" t="str">
        <f>IFERROR(INDEX(Restaurants!$B$2:$B$6,MATCH(D388,Restaurants!$A$2:$A$6,0)),"")</f>
        <v>Trailhead Burger Co. #105 - Houston, TX</v>
      </c>
      <c r="F388" s="7" t="s">
        <v>35</v>
      </c>
      <c r="G388" s="7" t="str">
        <f>IFERROR(INDEX(Chart_of_Accounts!$B$2:$B$18,MATCH(F388,Chart_of_Accounts!$A$2:$A$18,0)),"")</f>
        <v>Accounts Receivable</v>
      </c>
      <c r="H388" s="7" t="str">
        <f>IFERROR(INDEX(Chart_of_Accounts!$C$2:$C$18,MATCH(F388,Chart_of_Accounts!$A$2:$A$18,0)),"")</f>
        <v>Asset</v>
      </c>
      <c r="I388" s="9">
        <v>25168</v>
      </c>
      <c r="J388" s="9"/>
      <c r="K388" s="7" t="s">
        <v>138</v>
      </c>
      <c r="L388" s="7" t="s">
        <v>139</v>
      </c>
      <c r="M388" s="7" t="s">
        <v>140</v>
      </c>
      <c r="N388" s="7" t="s">
        <v>94</v>
      </c>
      <c r="O388" s="7" t="str">
        <f>IFERROR(INDEX(Vendors!$B$2:$B$10,MATCH(N388,Vendors!$A$2:$A$10,0)),"")</f>
        <v>QuickDash Delivery Platform</v>
      </c>
      <c r="P388" s="7" t="s">
        <v>136</v>
      </c>
    </row>
    <row r="389" spans="1:16" x14ac:dyDescent="0.25">
      <c r="A389" s="7">
        <v>194</v>
      </c>
      <c r="B389" s="7" t="s">
        <v>331</v>
      </c>
      <c r="C389" s="8">
        <v>46088</v>
      </c>
      <c r="D389" s="7" t="s">
        <v>82</v>
      </c>
      <c r="E389" s="7" t="str">
        <f>IFERROR(INDEX(Restaurants!$B$2:$B$6,MATCH(D389,Restaurants!$A$2:$A$6,0)),"")</f>
        <v>Trailhead Burger Co. #105 - Houston, TX</v>
      </c>
      <c r="F389" s="7" t="s">
        <v>53</v>
      </c>
      <c r="G389" s="7" t="str">
        <f>IFERROR(INDEX(Chart_of_Accounts!$B$2:$B$18,MATCH(F389,Chart_of_Accounts!$A$2:$A$18,0)),"")</f>
        <v>Delivery Sales</v>
      </c>
      <c r="H389" s="7" t="str">
        <f>IFERROR(INDEX(Chart_of_Accounts!$C$2:$C$18,MATCH(F389,Chart_of_Accounts!$A$2:$A$18,0)),"")</f>
        <v>Revenue</v>
      </c>
      <c r="I389" s="9"/>
      <c r="J389" s="9">
        <v>25168</v>
      </c>
      <c r="K389" s="7" t="s">
        <v>138</v>
      </c>
      <c r="L389" s="7" t="s">
        <v>139</v>
      </c>
      <c r="M389" s="7" t="s">
        <v>140</v>
      </c>
      <c r="N389" s="7" t="s">
        <v>94</v>
      </c>
      <c r="O389" s="7" t="str">
        <f>IFERROR(INDEX(Vendors!$B$2:$B$10,MATCH(N389,Vendors!$A$2:$A$10,0)),"")</f>
        <v>QuickDash Delivery Platform</v>
      </c>
      <c r="P389" s="7" t="s">
        <v>136</v>
      </c>
    </row>
    <row r="390" spans="1:16" x14ac:dyDescent="0.25">
      <c r="A390" s="7">
        <v>195</v>
      </c>
      <c r="B390" s="7" t="s">
        <v>332</v>
      </c>
      <c r="C390" s="8">
        <v>46091</v>
      </c>
      <c r="D390" s="7" t="s">
        <v>82</v>
      </c>
      <c r="E390" s="7" t="str">
        <f>IFERROR(INDEX(Restaurants!$B$2:$B$6,MATCH(D390,Restaurants!$A$2:$A$6,0)),"")</f>
        <v>Trailhead Burger Co. #105 - Houston, TX</v>
      </c>
      <c r="F390" s="7" t="s">
        <v>31</v>
      </c>
      <c r="G390" s="7" t="str">
        <f>IFERROR(INDEX(Chart_of_Accounts!$B$2:$B$18,MATCH(F390,Chart_of_Accounts!$A$2:$A$18,0)),"")</f>
        <v>Cash</v>
      </c>
      <c r="H390" s="7" t="str">
        <f>IFERROR(INDEX(Chart_of_Accounts!$C$2:$C$18,MATCH(F390,Chart_of_Accounts!$A$2:$A$18,0)),"")</f>
        <v>Asset</v>
      </c>
      <c r="I390" s="9">
        <v>25168</v>
      </c>
      <c r="J390" s="9"/>
      <c r="K390" s="7" t="s">
        <v>142</v>
      </c>
      <c r="L390" s="7" t="s">
        <v>139</v>
      </c>
      <c r="M390" s="7" t="s">
        <v>140</v>
      </c>
      <c r="N390" s="7" t="s">
        <v>94</v>
      </c>
      <c r="O390" s="7" t="str">
        <f>IFERROR(INDEX(Vendors!$B$2:$B$10,MATCH(N390,Vendors!$A$2:$A$10,0)),"")</f>
        <v>QuickDash Delivery Platform</v>
      </c>
      <c r="P390" s="7" t="s">
        <v>136</v>
      </c>
    </row>
    <row r="391" spans="1:16" x14ac:dyDescent="0.25">
      <c r="A391" s="7">
        <v>195</v>
      </c>
      <c r="B391" s="7" t="s">
        <v>332</v>
      </c>
      <c r="C391" s="8">
        <v>46091</v>
      </c>
      <c r="D391" s="7" t="s">
        <v>82</v>
      </c>
      <c r="E391" s="7" t="str">
        <f>IFERROR(INDEX(Restaurants!$B$2:$B$6,MATCH(D391,Restaurants!$A$2:$A$6,0)),"")</f>
        <v>Trailhead Burger Co. #105 - Houston, TX</v>
      </c>
      <c r="F391" s="7" t="s">
        <v>35</v>
      </c>
      <c r="G391" s="7" t="str">
        <f>IFERROR(INDEX(Chart_of_Accounts!$B$2:$B$18,MATCH(F391,Chart_of_Accounts!$A$2:$A$18,0)),"")</f>
        <v>Accounts Receivable</v>
      </c>
      <c r="H391" s="7" t="str">
        <f>IFERROR(INDEX(Chart_of_Accounts!$C$2:$C$18,MATCH(F391,Chart_of_Accounts!$A$2:$A$18,0)),"")</f>
        <v>Asset</v>
      </c>
      <c r="I391" s="9"/>
      <c r="J391" s="9">
        <v>25168</v>
      </c>
      <c r="K391" s="7" t="s">
        <v>142</v>
      </c>
      <c r="L391" s="7" t="s">
        <v>139</v>
      </c>
      <c r="M391" s="7" t="s">
        <v>140</v>
      </c>
      <c r="N391" s="7" t="s">
        <v>94</v>
      </c>
      <c r="O391" s="7" t="str">
        <f>IFERROR(INDEX(Vendors!$B$2:$B$10,MATCH(N391,Vendors!$A$2:$A$10,0)),"")</f>
        <v>QuickDash Delivery Platform</v>
      </c>
      <c r="P391" s="7" t="s">
        <v>136</v>
      </c>
    </row>
    <row r="392" spans="1:16" x14ac:dyDescent="0.25">
      <c r="A392" s="7">
        <v>196</v>
      </c>
      <c r="B392" s="7" t="s">
        <v>333</v>
      </c>
      <c r="C392" s="8">
        <v>46091</v>
      </c>
      <c r="D392" s="7" t="s">
        <v>82</v>
      </c>
      <c r="E392" s="7" t="str">
        <f>IFERROR(INDEX(Restaurants!$B$2:$B$6,MATCH(D392,Restaurants!$A$2:$A$6,0)),"")</f>
        <v>Trailhead Burger Co. #105 - Houston, TX</v>
      </c>
      <c r="F392" s="7" t="s">
        <v>64</v>
      </c>
      <c r="G392" s="7" t="str">
        <f>IFERROR(INDEX(Chart_of_Accounts!$B$2:$B$18,MATCH(F392,Chart_of_Accounts!$A$2:$A$18,0)),"")</f>
        <v>Delivery Fees</v>
      </c>
      <c r="H392" s="7" t="str">
        <f>IFERROR(INDEX(Chart_of_Accounts!$C$2:$C$18,MATCH(F392,Chart_of_Accounts!$A$2:$A$18,0)),"")</f>
        <v>Expense</v>
      </c>
      <c r="I392" s="9">
        <v>3775.2</v>
      </c>
      <c r="J392" s="9"/>
      <c r="K392" s="7" t="s">
        <v>144</v>
      </c>
      <c r="L392" s="7" t="s">
        <v>32</v>
      </c>
      <c r="M392" s="7" t="s">
        <v>140</v>
      </c>
      <c r="N392" s="7" t="s">
        <v>94</v>
      </c>
      <c r="O392" s="7" t="str">
        <f>IFERROR(INDEX(Vendors!$B$2:$B$10,MATCH(N392,Vendors!$A$2:$A$10,0)),"")</f>
        <v>QuickDash Delivery Platform</v>
      </c>
      <c r="P392" s="7" t="s">
        <v>136</v>
      </c>
    </row>
    <row r="393" spans="1:16" x14ac:dyDescent="0.25">
      <c r="A393" s="7">
        <v>196</v>
      </c>
      <c r="B393" s="7" t="s">
        <v>333</v>
      </c>
      <c r="C393" s="8">
        <v>46091</v>
      </c>
      <c r="D393" s="7" t="s">
        <v>82</v>
      </c>
      <c r="E393" s="7" t="str">
        <f>IFERROR(INDEX(Restaurants!$B$2:$B$6,MATCH(D393,Restaurants!$A$2:$A$6,0)),"")</f>
        <v>Trailhead Burger Co. #105 - Houston, TX</v>
      </c>
      <c r="F393" s="7" t="s">
        <v>31</v>
      </c>
      <c r="G393" s="7" t="str">
        <f>IFERROR(INDEX(Chart_of_Accounts!$B$2:$B$18,MATCH(F393,Chart_of_Accounts!$A$2:$A$18,0)),"")</f>
        <v>Cash</v>
      </c>
      <c r="H393" s="7" t="str">
        <f>IFERROR(INDEX(Chart_of_Accounts!$C$2:$C$18,MATCH(F393,Chart_of_Accounts!$A$2:$A$18,0)),"")</f>
        <v>Asset</v>
      </c>
      <c r="I393" s="9"/>
      <c r="J393" s="9">
        <v>3775.2</v>
      </c>
      <c r="K393" s="7" t="s">
        <v>144</v>
      </c>
      <c r="L393" s="7" t="s">
        <v>32</v>
      </c>
      <c r="M393" s="7" t="s">
        <v>140</v>
      </c>
      <c r="N393" s="7" t="s">
        <v>94</v>
      </c>
      <c r="O393" s="7" t="str">
        <f>IFERROR(INDEX(Vendors!$B$2:$B$10,MATCH(N393,Vendors!$A$2:$A$10,0)),"")</f>
        <v>QuickDash Delivery Platform</v>
      </c>
      <c r="P393" s="7" t="s">
        <v>136</v>
      </c>
    </row>
    <row r="394" spans="1:16" x14ac:dyDescent="0.25">
      <c r="A394" s="7">
        <v>197</v>
      </c>
      <c r="B394" s="7" t="s">
        <v>334</v>
      </c>
      <c r="C394" s="8">
        <v>46089</v>
      </c>
      <c r="D394" s="7" t="s">
        <v>82</v>
      </c>
      <c r="E394" s="7" t="str">
        <f>IFERROR(INDEX(Restaurants!$B$2:$B$6,MATCH(D394,Restaurants!$A$2:$A$6,0)),"")</f>
        <v>Trailhead Burger Co. #105 - Houston, TX</v>
      </c>
      <c r="F394" s="7" t="s">
        <v>37</v>
      </c>
      <c r="G394" s="7" t="str">
        <f>IFERROR(INDEX(Chart_of_Accounts!$B$2:$B$18,MATCH(F394,Chart_of_Accounts!$A$2:$A$18,0)),"")</f>
        <v>Inventory</v>
      </c>
      <c r="H394" s="7" t="str">
        <f>IFERROR(INDEX(Chart_of_Accounts!$C$2:$C$18,MATCH(F394,Chart_of_Accounts!$A$2:$A$18,0)),"")</f>
        <v>Asset</v>
      </c>
      <c r="I394" s="9">
        <v>43963.92</v>
      </c>
      <c r="J394" s="9"/>
      <c r="K394" s="7" t="s">
        <v>146</v>
      </c>
      <c r="L394" s="7" t="s">
        <v>113</v>
      </c>
      <c r="M394" s="7" t="s">
        <v>114</v>
      </c>
      <c r="N394" s="7" t="s">
        <v>86</v>
      </c>
      <c r="O394" s="7" t="str">
        <f>IFERROR(INDEX(Vendors!$B$2:$B$10,MATCH(N394,Vendors!$A$2:$A$10,0)),"")</f>
        <v>Gulf Coast Meat Supply</v>
      </c>
      <c r="P394" s="7" t="s">
        <v>147</v>
      </c>
    </row>
    <row r="395" spans="1:16" x14ac:dyDescent="0.25">
      <c r="A395" s="7">
        <v>197</v>
      </c>
      <c r="B395" s="7" t="s">
        <v>334</v>
      </c>
      <c r="C395" s="8">
        <v>46089</v>
      </c>
      <c r="D395" s="7" t="s">
        <v>82</v>
      </c>
      <c r="E395" s="7" t="str">
        <f>IFERROR(INDEX(Restaurants!$B$2:$B$6,MATCH(D395,Restaurants!$A$2:$A$6,0)),"")</f>
        <v>Trailhead Burger Co. #105 - Houston, TX</v>
      </c>
      <c r="F395" s="7" t="s">
        <v>41</v>
      </c>
      <c r="G395" s="7" t="str">
        <f>IFERROR(INDEX(Chart_of_Accounts!$B$2:$B$18,MATCH(F395,Chart_of_Accounts!$A$2:$A$18,0)),"")</f>
        <v>Accounts Payable</v>
      </c>
      <c r="H395" s="7" t="str">
        <f>IFERROR(INDEX(Chart_of_Accounts!$C$2:$C$18,MATCH(F395,Chart_of_Accounts!$A$2:$A$18,0)),"")</f>
        <v>Liability</v>
      </c>
      <c r="I395" s="9"/>
      <c r="J395" s="9">
        <v>43963.92</v>
      </c>
      <c r="K395" s="7" t="s">
        <v>146</v>
      </c>
      <c r="L395" s="7" t="s">
        <v>113</v>
      </c>
      <c r="M395" s="7" t="s">
        <v>114</v>
      </c>
      <c r="N395" s="7" t="s">
        <v>86</v>
      </c>
      <c r="O395" s="7" t="str">
        <f>IFERROR(INDEX(Vendors!$B$2:$B$10,MATCH(N395,Vendors!$A$2:$A$10,0)),"")</f>
        <v>Gulf Coast Meat Supply</v>
      </c>
      <c r="P395" s="7" t="s">
        <v>147</v>
      </c>
    </row>
    <row r="396" spans="1:16" x14ac:dyDescent="0.25">
      <c r="A396" s="7">
        <v>198</v>
      </c>
      <c r="B396" s="7" t="s">
        <v>335</v>
      </c>
      <c r="C396" s="8">
        <v>46109</v>
      </c>
      <c r="D396" s="7" t="s">
        <v>82</v>
      </c>
      <c r="E396" s="7" t="str">
        <f>IFERROR(INDEX(Restaurants!$B$2:$B$6,MATCH(D396,Restaurants!$A$2:$A$6,0)),"")</f>
        <v>Trailhead Burger Co. #105 - Houston, TX</v>
      </c>
      <c r="F396" s="7" t="s">
        <v>55</v>
      </c>
      <c r="G396" s="7" t="str">
        <f>IFERROR(INDEX(Chart_of_Accounts!$B$2:$B$18,MATCH(F396,Chart_of_Accounts!$A$2:$A$18,0)),"")</f>
        <v>Food Cost</v>
      </c>
      <c r="H396" s="7" t="str">
        <f>IFERROR(INDEX(Chart_of_Accounts!$C$2:$C$18,MATCH(F396,Chart_of_Accounts!$A$2:$A$18,0)),"")</f>
        <v>Expense</v>
      </c>
      <c r="I396" s="9">
        <v>41870.400000000001</v>
      </c>
      <c r="J396" s="9"/>
      <c r="K396" s="7" t="s">
        <v>149</v>
      </c>
      <c r="L396" s="7" t="s">
        <v>113</v>
      </c>
      <c r="M396" s="7" t="s">
        <v>114</v>
      </c>
      <c r="N396" s="7" t="s">
        <v>86</v>
      </c>
      <c r="O396" s="7" t="str">
        <f>IFERROR(INDEX(Vendors!$B$2:$B$10,MATCH(N396,Vendors!$A$2:$A$10,0)),"")</f>
        <v>Gulf Coast Meat Supply</v>
      </c>
      <c r="P396" s="7" t="s">
        <v>136</v>
      </c>
    </row>
    <row r="397" spans="1:16" x14ac:dyDescent="0.25">
      <c r="A397" s="7">
        <v>198</v>
      </c>
      <c r="B397" s="7" t="s">
        <v>335</v>
      </c>
      <c r="C397" s="8">
        <v>46109</v>
      </c>
      <c r="D397" s="7" t="s">
        <v>82</v>
      </c>
      <c r="E397" s="7" t="str">
        <f>IFERROR(INDEX(Restaurants!$B$2:$B$6,MATCH(D397,Restaurants!$A$2:$A$6,0)),"")</f>
        <v>Trailhead Burger Co. #105 - Houston, TX</v>
      </c>
      <c r="F397" s="7" t="s">
        <v>37</v>
      </c>
      <c r="G397" s="7" t="str">
        <f>IFERROR(INDEX(Chart_of_Accounts!$B$2:$B$18,MATCH(F397,Chart_of_Accounts!$A$2:$A$18,0)),"")</f>
        <v>Inventory</v>
      </c>
      <c r="H397" s="7" t="str">
        <f>IFERROR(INDEX(Chart_of_Accounts!$C$2:$C$18,MATCH(F397,Chart_of_Accounts!$A$2:$A$18,0)),"")</f>
        <v>Asset</v>
      </c>
      <c r="I397" s="9"/>
      <c r="J397" s="9">
        <v>41870.400000000001</v>
      </c>
      <c r="K397" s="7" t="s">
        <v>149</v>
      </c>
      <c r="L397" s="7" t="s">
        <v>113</v>
      </c>
      <c r="M397" s="7" t="s">
        <v>114</v>
      </c>
      <c r="N397" s="7" t="s">
        <v>86</v>
      </c>
      <c r="O397" s="7" t="str">
        <f>IFERROR(INDEX(Vendors!$B$2:$B$10,MATCH(N397,Vendors!$A$2:$A$10,0)),"")</f>
        <v>Gulf Coast Meat Supply</v>
      </c>
      <c r="P397" s="7" t="s">
        <v>136</v>
      </c>
    </row>
    <row r="398" spans="1:16" x14ac:dyDescent="0.25">
      <c r="A398" s="7">
        <v>199</v>
      </c>
      <c r="B398" s="7" t="s">
        <v>336</v>
      </c>
      <c r="C398" s="8">
        <v>46096</v>
      </c>
      <c r="D398" s="7" t="s">
        <v>82</v>
      </c>
      <c r="E398" s="7" t="str">
        <f>IFERROR(INDEX(Restaurants!$B$2:$B$6,MATCH(D398,Restaurants!$A$2:$A$6,0)),"")</f>
        <v>Trailhead Burger Co. #105 - Houston, TX</v>
      </c>
      <c r="F398" s="7" t="s">
        <v>58</v>
      </c>
      <c r="G398" s="7" t="str">
        <f>IFERROR(INDEX(Chart_of_Accounts!$B$2:$B$18,MATCH(F398,Chart_of_Accounts!$A$2:$A$18,0)),"")</f>
        <v>Labor</v>
      </c>
      <c r="H398" s="7" t="str">
        <f>IFERROR(INDEX(Chart_of_Accounts!$C$2:$C$18,MATCH(F398,Chart_of_Accounts!$A$2:$A$18,0)),"")</f>
        <v>Expense</v>
      </c>
      <c r="I398" s="9">
        <v>36287.68</v>
      </c>
      <c r="J398" s="9"/>
      <c r="K398" s="7" t="s">
        <v>151</v>
      </c>
      <c r="L398" s="7" t="s">
        <v>32</v>
      </c>
      <c r="M398" s="7" t="s">
        <v>114</v>
      </c>
      <c r="N398" s="7"/>
      <c r="O398" s="7"/>
      <c r="P398" s="7" t="s">
        <v>152</v>
      </c>
    </row>
    <row r="399" spans="1:16" x14ac:dyDescent="0.25">
      <c r="A399" s="7">
        <v>199</v>
      </c>
      <c r="B399" s="7" t="s">
        <v>336</v>
      </c>
      <c r="C399" s="8">
        <v>46096</v>
      </c>
      <c r="D399" s="7" t="s">
        <v>82</v>
      </c>
      <c r="E399" s="7" t="str">
        <f>IFERROR(INDEX(Restaurants!$B$2:$B$6,MATCH(D399,Restaurants!$A$2:$A$6,0)),"")</f>
        <v>Trailhead Burger Co. #105 - Houston, TX</v>
      </c>
      <c r="F399" s="7" t="s">
        <v>31</v>
      </c>
      <c r="G399" s="7" t="str">
        <f>IFERROR(INDEX(Chart_of_Accounts!$B$2:$B$18,MATCH(F399,Chart_of_Accounts!$A$2:$A$18,0)),"")</f>
        <v>Cash</v>
      </c>
      <c r="H399" s="7" t="str">
        <f>IFERROR(INDEX(Chart_of_Accounts!$C$2:$C$18,MATCH(F399,Chart_of_Accounts!$A$2:$A$18,0)),"")</f>
        <v>Asset</v>
      </c>
      <c r="I399" s="9"/>
      <c r="J399" s="9">
        <v>36287.68</v>
      </c>
      <c r="K399" s="7" t="s">
        <v>151</v>
      </c>
      <c r="L399" s="7" t="s">
        <v>32</v>
      </c>
      <c r="M399" s="7" t="s">
        <v>114</v>
      </c>
      <c r="N399" s="7"/>
      <c r="O399" s="7"/>
      <c r="P399" s="7" t="s">
        <v>152</v>
      </c>
    </row>
    <row r="400" spans="1:16" x14ac:dyDescent="0.25">
      <c r="A400" s="7">
        <v>200</v>
      </c>
      <c r="B400" s="7" t="s">
        <v>337</v>
      </c>
      <c r="C400" s="8">
        <v>46082</v>
      </c>
      <c r="D400" s="7" t="s">
        <v>82</v>
      </c>
      <c r="E400" s="7" t="str">
        <f>IFERROR(INDEX(Restaurants!$B$2:$B$6,MATCH(D400,Restaurants!$A$2:$A$6,0)),"")</f>
        <v>Trailhead Burger Co. #105 - Houston, TX</v>
      </c>
      <c r="F400" s="7" t="s">
        <v>60</v>
      </c>
      <c r="G400" s="7" t="str">
        <f>IFERROR(INDEX(Chart_of_Accounts!$B$2:$B$18,MATCH(F400,Chart_of_Accounts!$A$2:$A$18,0)),"")</f>
        <v>Rent</v>
      </c>
      <c r="H400" s="7" t="str">
        <f>IFERROR(INDEX(Chart_of_Accounts!$C$2:$C$18,MATCH(F400,Chart_of_Accounts!$A$2:$A$18,0)),"")</f>
        <v>Expense</v>
      </c>
      <c r="I400" s="9">
        <v>11000</v>
      </c>
      <c r="J400" s="9"/>
      <c r="K400" s="7" t="s">
        <v>154</v>
      </c>
      <c r="L400" s="7" t="s">
        <v>32</v>
      </c>
      <c r="M400" s="7" t="s">
        <v>114</v>
      </c>
      <c r="N400" s="7" t="s">
        <v>98</v>
      </c>
      <c r="O400" s="7" t="str">
        <f>IFERROR(INDEX(Vendors!$B$2:$B$10,MATCH(N400,Vendors!$A$2:$A$10,0)),"")</f>
        <v>Prime Property Management</v>
      </c>
      <c r="P400" s="7" t="s">
        <v>115</v>
      </c>
    </row>
    <row r="401" spans="1:16" x14ac:dyDescent="0.25">
      <c r="A401" s="7">
        <v>200</v>
      </c>
      <c r="B401" s="7" t="s">
        <v>337</v>
      </c>
      <c r="C401" s="8">
        <v>46082</v>
      </c>
      <c r="D401" s="7" t="s">
        <v>82</v>
      </c>
      <c r="E401" s="7" t="str">
        <f>IFERROR(INDEX(Restaurants!$B$2:$B$6,MATCH(D401,Restaurants!$A$2:$A$6,0)),"")</f>
        <v>Trailhead Burger Co. #105 - Houston, TX</v>
      </c>
      <c r="F401" s="7" t="s">
        <v>31</v>
      </c>
      <c r="G401" s="7" t="str">
        <f>IFERROR(INDEX(Chart_of_Accounts!$B$2:$B$18,MATCH(F401,Chart_of_Accounts!$A$2:$A$18,0)),"")</f>
        <v>Cash</v>
      </c>
      <c r="H401" s="7" t="str">
        <f>IFERROR(INDEX(Chart_of_Accounts!$C$2:$C$18,MATCH(F401,Chart_of_Accounts!$A$2:$A$18,0)),"")</f>
        <v>Asset</v>
      </c>
      <c r="I401" s="9"/>
      <c r="J401" s="9">
        <v>11000</v>
      </c>
      <c r="K401" s="7" t="s">
        <v>154</v>
      </c>
      <c r="L401" s="7" t="s">
        <v>32</v>
      </c>
      <c r="M401" s="7" t="s">
        <v>114</v>
      </c>
      <c r="N401" s="7" t="s">
        <v>98</v>
      </c>
      <c r="O401" s="7" t="str">
        <f>IFERROR(INDEX(Vendors!$B$2:$B$10,MATCH(N401,Vendors!$A$2:$A$10,0)),"")</f>
        <v>Prime Property Management</v>
      </c>
      <c r="P401" s="7" t="s">
        <v>115</v>
      </c>
    </row>
    <row r="402" spans="1:16" x14ac:dyDescent="0.25">
      <c r="A402" s="7">
        <v>201</v>
      </c>
      <c r="B402" s="7" t="s">
        <v>338</v>
      </c>
      <c r="C402" s="8">
        <v>46101</v>
      </c>
      <c r="D402" s="7" t="s">
        <v>82</v>
      </c>
      <c r="E402" s="7" t="str">
        <f>IFERROR(INDEX(Restaurants!$B$2:$B$6,MATCH(D402,Restaurants!$A$2:$A$6,0)),"")</f>
        <v>Trailhead Burger Co. #105 - Houston, TX</v>
      </c>
      <c r="F402" s="7" t="s">
        <v>62</v>
      </c>
      <c r="G402" s="7" t="str">
        <f>IFERROR(INDEX(Chart_of_Accounts!$B$2:$B$18,MATCH(F402,Chart_of_Accounts!$A$2:$A$18,0)),"")</f>
        <v>Utilities</v>
      </c>
      <c r="H402" s="7" t="str">
        <f>IFERROR(INDEX(Chart_of_Accounts!$C$2:$C$18,MATCH(F402,Chart_of_Accounts!$A$2:$A$18,0)),"")</f>
        <v>Expense</v>
      </c>
      <c r="I402" s="9">
        <v>3074</v>
      </c>
      <c r="J402" s="9"/>
      <c r="K402" s="7" t="s">
        <v>156</v>
      </c>
      <c r="L402" s="7" t="s">
        <v>32</v>
      </c>
      <c r="M402" s="7" t="s">
        <v>114</v>
      </c>
      <c r="N402" s="7" t="s">
        <v>96</v>
      </c>
      <c r="O402" s="7" t="str">
        <f>IFERROR(INDEX(Vendors!$B$2:$B$10,MATCH(N402,Vendors!$A$2:$A$10,0)),"")</f>
        <v>CityWide Utilities</v>
      </c>
      <c r="P402" s="7" t="s">
        <v>157</v>
      </c>
    </row>
    <row r="403" spans="1:16" x14ac:dyDescent="0.25">
      <c r="A403" s="7">
        <v>201</v>
      </c>
      <c r="B403" s="7" t="s">
        <v>338</v>
      </c>
      <c r="C403" s="8">
        <v>46101</v>
      </c>
      <c r="D403" s="7" t="s">
        <v>82</v>
      </c>
      <c r="E403" s="7" t="str">
        <f>IFERROR(INDEX(Restaurants!$B$2:$B$6,MATCH(D403,Restaurants!$A$2:$A$6,0)),"")</f>
        <v>Trailhead Burger Co. #105 - Houston, TX</v>
      </c>
      <c r="F403" s="7" t="s">
        <v>31</v>
      </c>
      <c r="G403" s="7" t="str">
        <f>IFERROR(INDEX(Chart_of_Accounts!$B$2:$B$18,MATCH(F403,Chart_of_Accounts!$A$2:$A$18,0)),"")</f>
        <v>Cash</v>
      </c>
      <c r="H403" s="7" t="str">
        <f>IFERROR(INDEX(Chart_of_Accounts!$C$2:$C$18,MATCH(F403,Chart_of_Accounts!$A$2:$A$18,0)),"")</f>
        <v>Asset</v>
      </c>
      <c r="I403" s="9"/>
      <c r="J403" s="9">
        <v>3074</v>
      </c>
      <c r="K403" s="7" t="s">
        <v>156</v>
      </c>
      <c r="L403" s="7" t="s">
        <v>32</v>
      </c>
      <c r="M403" s="7" t="s">
        <v>114</v>
      </c>
      <c r="N403" s="7" t="s">
        <v>96</v>
      </c>
      <c r="O403" s="7" t="str">
        <f>IFERROR(INDEX(Vendors!$B$2:$B$10,MATCH(N403,Vendors!$A$2:$A$10,0)),"")</f>
        <v>CityWide Utilities</v>
      </c>
      <c r="P403" s="7" t="s">
        <v>157</v>
      </c>
    </row>
    <row r="404" spans="1:16" x14ac:dyDescent="0.25">
      <c r="A404" s="7">
        <v>202</v>
      </c>
      <c r="B404" s="7" t="s">
        <v>339</v>
      </c>
      <c r="C404" s="8">
        <v>46109</v>
      </c>
      <c r="D404" s="7" t="s">
        <v>82</v>
      </c>
      <c r="E404" s="7" t="str">
        <f>IFERROR(INDEX(Restaurants!$B$2:$B$6,MATCH(D404,Restaurants!$A$2:$A$6,0)),"")</f>
        <v>Trailhead Burger Co. #105 - Houston, TX</v>
      </c>
      <c r="F404" s="7" t="s">
        <v>66</v>
      </c>
      <c r="G404" s="7" t="str">
        <f>IFERROR(INDEX(Chart_of_Accounts!$B$2:$B$18,MATCH(F404,Chart_of_Accounts!$A$2:$A$18,0)),"")</f>
        <v>CC Processing Fees</v>
      </c>
      <c r="H404" s="7" t="str">
        <f>IFERROR(INDEX(Chart_of_Accounts!$C$2:$C$18,MATCH(F404,Chart_of_Accounts!$A$2:$A$18,0)),"")</f>
        <v>Expense</v>
      </c>
      <c r="I404" s="9">
        <v>3489.2</v>
      </c>
      <c r="J404" s="9"/>
      <c r="K404" s="7" t="s">
        <v>159</v>
      </c>
      <c r="L404" s="7" t="s">
        <v>32</v>
      </c>
      <c r="M404" s="7" t="s">
        <v>114</v>
      </c>
      <c r="N404" s="7"/>
      <c r="O404" s="7"/>
      <c r="P404" s="7" t="s">
        <v>115</v>
      </c>
    </row>
    <row r="405" spans="1:16" x14ac:dyDescent="0.25">
      <c r="A405" s="7">
        <v>202</v>
      </c>
      <c r="B405" s="7" t="s">
        <v>339</v>
      </c>
      <c r="C405" s="8">
        <v>46109</v>
      </c>
      <c r="D405" s="7" t="s">
        <v>82</v>
      </c>
      <c r="E405" s="7" t="str">
        <f>IFERROR(INDEX(Restaurants!$B$2:$B$6,MATCH(D405,Restaurants!$A$2:$A$6,0)),"")</f>
        <v>Trailhead Burger Co. #105 - Houston, TX</v>
      </c>
      <c r="F405" s="7" t="s">
        <v>31</v>
      </c>
      <c r="G405" s="7" t="str">
        <f>IFERROR(INDEX(Chart_of_Accounts!$B$2:$B$18,MATCH(F405,Chart_of_Accounts!$A$2:$A$18,0)),"")</f>
        <v>Cash</v>
      </c>
      <c r="H405" s="7" t="str">
        <f>IFERROR(INDEX(Chart_of_Accounts!$C$2:$C$18,MATCH(F405,Chart_of_Accounts!$A$2:$A$18,0)),"")</f>
        <v>Asset</v>
      </c>
      <c r="I405" s="9"/>
      <c r="J405" s="9">
        <v>3489.2</v>
      </c>
      <c r="K405" s="7" t="s">
        <v>159</v>
      </c>
      <c r="L405" s="7" t="s">
        <v>32</v>
      </c>
      <c r="M405" s="7" t="s">
        <v>114</v>
      </c>
      <c r="N405" s="7"/>
      <c r="O405" s="7"/>
      <c r="P405" s="7" t="s">
        <v>115</v>
      </c>
    </row>
    <row r="406" spans="1:16" x14ac:dyDescent="0.25">
      <c r="A406" s="7">
        <v>203</v>
      </c>
      <c r="B406" s="7" t="s">
        <v>340</v>
      </c>
      <c r="C406" s="8">
        <v>46093</v>
      </c>
      <c r="D406" s="7" t="s">
        <v>82</v>
      </c>
      <c r="E406" s="7" t="str">
        <f>IFERROR(INDEX(Restaurants!$B$2:$B$6,MATCH(D406,Restaurants!$A$2:$A$6,0)),"")</f>
        <v>Trailhead Burger Co. #105 - Houston, TX</v>
      </c>
      <c r="F406" s="7" t="s">
        <v>68</v>
      </c>
      <c r="G406" s="7" t="str">
        <f>IFERROR(INDEX(Chart_of_Accounts!$B$2:$B$18,MATCH(F406,Chart_of_Accounts!$A$2:$A$18,0)),"")</f>
        <v>Marketing</v>
      </c>
      <c r="H406" s="7" t="str">
        <f>IFERROR(INDEX(Chart_of_Accounts!$C$2:$C$18,MATCH(F406,Chart_of_Accounts!$A$2:$A$18,0)),"")</f>
        <v>Expense</v>
      </c>
      <c r="I406" s="9">
        <v>4187.04</v>
      </c>
      <c r="J406" s="9"/>
      <c r="K406" s="7" t="s">
        <v>161</v>
      </c>
      <c r="L406" s="7" t="s">
        <v>32</v>
      </c>
      <c r="M406" s="7" t="s">
        <v>114</v>
      </c>
      <c r="N406" s="7" t="s">
        <v>100</v>
      </c>
      <c r="O406" s="7" t="str">
        <f>IFERROR(INDEX(Vendors!$B$2:$B$10,MATCH(N406,Vendors!$A$2:$A$10,0)),"")</f>
        <v>BrightSign Marketing Agency</v>
      </c>
      <c r="P406" s="7" t="s">
        <v>69</v>
      </c>
    </row>
    <row r="407" spans="1:16" x14ac:dyDescent="0.25">
      <c r="A407" s="7">
        <v>203</v>
      </c>
      <c r="B407" s="7" t="s">
        <v>340</v>
      </c>
      <c r="C407" s="8">
        <v>46093</v>
      </c>
      <c r="D407" s="7" t="s">
        <v>82</v>
      </c>
      <c r="E407" s="7" t="str">
        <f>IFERROR(INDEX(Restaurants!$B$2:$B$6,MATCH(D407,Restaurants!$A$2:$A$6,0)),"")</f>
        <v>Trailhead Burger Co. #105 - Houston, TX</v>
      </c>
      <c r="F407" s="7" t="s">
        <v>31</v>
      </c>
      <c r="G407" s="7" t="str">
        <f>IFERROR(INDEX(Chart_of_Accounts!$B$2:$B$18,MATCH(F407,Chart_of_Accounts!$A$2:$A$18,0)),"")</f>
        <v>Cash</v>
      </c>
      <c r="H407" s="7" t="str">
        <f>IFERROR(INDEX(Chart_of_Accounts!$C$2:$C$18,MATCH(F407,Chart_of_Accounts!$A$2:$A$18,0)),"")</f>
        <v>Asset</v>
      </c>
      <c r="I407" s="9"/>
      <c r="J407" s="9">
        <v>4187.04</v>
      </c>
      <c r="K407" s="7" t="s">
        <v>161</v>
      </c>
      <c r="L407" s="7" t="s">
        <v>32</v>
      </c>
      <c r="M407" s="7" t="s">
        <v>114</v>
      </c>
      <c r="N407" s="7" t="s">
        <v>100</v>
      </c>
      <c r="O407" s="7" t="str">
        <f>IFERROR(INDEX(Vendors!$B$2:$B$10,MATCH(N407,Vendors!$A$2:$A$10,0)),"")</f>
        <v>BrightSign Marketing Agency</v>
      </c>
      <c r="P407" s="7" t="s">
        <v>69</v>
      </c>
    </row>
    <row r="408" spans="1:16" x14ac:dyDescent="0.25">
      <c r="A408" s="7">
        <v>204</v>
      </c>
      <c r="B408" s="7" t="s">
        <v>341</v>
      </c>
      <c r="C408" s="8">
        <v>46111</v>
      </c>
      <c r="D408" s="7" t="s">
        <v>82</v>
      </c>
      <c r="E408" s="7" t="str">
        <f>IFERROR(INDEX(Restaurants!$B$2:$B$6,MATCH(D408,Restaurants!$A$2:$A$6,0)),"")</f>
        <v>Trailhead Burger Co. #105 - Houston, TX</v>
      </c>
      <c r="F408" s="7" t="s">
        <v>70</v>
      </c>
      <c r="G408" s="7" t="str">
        <f>IFERROR(INDEX(Chart_of_Accounts!$B$2:$B$18,MATCH(F408,Chart_of_Accounts!$A$2:$A$18,0)),"")</f>
        <v>Franchise Fees</v>
      </c>
      <c r="H408" s="7" t="str">
        <f>IFERROR(INDEX(Chart_of_Accounts!$C$2:$C$18,MATCH(F408,Chart_of_Accounts!$A$2:$A$18,0)),"")</f>
        <v>Expense</v>
      </c>
      <c r="I408" s="9">
        <v>5582.72</v>
      </c>
      <c r="J408" s="9"/>
      <c r="K408" s="7" t="s">
        <v>163</v>
      </c>
      <c r="L408" s="7" t="s">
        <v>32</v>
      </c>
      <c r="M408" s="7" t="s">
        <v>114</v>
      </c>
      <c r="N408" s="7" t="s">
        <v>102</v>
      </c>
      <c r="O408" s="7" t="str">
        <f>IFERROR(INDEX(Vendors!$B$2:$B$10,MATCH(N408,Vendors!$A$2:$A$10,0)),"")</f>
        <v>Trailhead Burger Co. - Corporate</v>
      </c>
      <c r="P408" s="7" t="s">
        <v>115</v>
      </c>
    </row>
    <row r="409" spans="1:16" x14ac:dyDescent="0.25">
      <c r="A409" s="7">
        <v>204</v>
      </c>
      <c r="B409" s="7" t="s">
        <v>341</v>
      </c>
      <c r="C409" s="8">
        <v>46111</v>
      </c>
      <c r="D409" s="7" t="s">
        <v>82</v>
      </c>
      <c r="E409" s="7" t="str">
        <f>IFERROR(INDEX(Restaurants!$B$2:$B$6,MATCH(D409,Restaurants!$A$2:$A$6,0)),"")</f>
        <v>Trailhead Burger Co. #105 - Houston, TX</v>
      </c>
      <c r="F409" s="7" t="s">
        <v>31</v>
      </c>
      <c r="G409" s="7" t="str">
        <f>IFERROR(INDEX(Chart_of_Accounts!$B$2:$B$18,MATCH(F409,Chart_of_Accounts!$A$2:$A$18,0)),"")</f>
        <v>Cash</v>
      </c>
      <c r="H409" s="7" t="str">
        <f>IFERROR(INDEX(Chart_of_Accounts!$C$2:$C$18,MATCH(F409,Chart_of_Accounts!$A$2:$A$18,0)),"")</f>
        <v>Asset</v>
      </c>
      <c r="I409" s="9"/>
      <c r="J409" s="9">
        <v>5582.72</v>
      </c>
      <c r="K409" s="7" t="s">
        <v>163</v>
      </c>
      <c r="L409" s="7" t="s">
        <v>32</v>
      </c>
      <c r="M409" s="7" t="s">
        <v>114</v>
      </c>
      <c r="N409" s="7" t="s">
        <v>102</v>
      </c>
      <c r="O409" s="7" t="str">
        <f>IFERROR(INDEX(Vendors!$B$2:$B$10,MATCH(N409,Vendors!$A$2:$A$10,0)),"")</f>
        <v>Trailhead Burger Co. - Corporate</v>
      </c>
      <c r="P409" s="7" t="s">
        <v>115</v>
      </c>
    </row>
    <row r="410" spans="1:16" x14ac:dyDescent="0.25">
      <c r="A410" s="7">
        <v>205</v>
      </c>
      <c r="B410" s="7" t="s">
        <v>342</v>
      </c>
      <c r="C410" s="8">
        <v>46099</v>
      </c>
      <c r="D410" s="7" t="s">
        <v>82</v>
      </c>
      <c r="E410" s="7" t="str">
        <f>IFERROR(INDEX(Restaurants!$B$2:$B$6,MATCH(D410,Restaurants!$A$2:$A$6,0)),"")</f>
        <v>Trailhead Burger Co. #105 - Houston, TX</v>
      </c>
      <c r="F410" s="7" t="s">
        <v>41</v>
      </c>
      <c r="G410" s="7" t="str">
        <f>IFERROR(INDEX(Chart_of_Accounts!$B$2:$B$18,MATCH(F410,Chart_of_Accounts!$A$2:$A$18,0)),"")</f>
        <v>Accounts Payable</v>
      </c>
      <c r="H410" s="7" t="str">
        <f>IFERROR(INDEX(Chart_of_Accounts!$C$2:$C$18,MATCH(F410,Chart_of_Accounts!$A$2:$A$18,0)),"")</f>
        <v>Liability</v>
      </c>
      <c r="I410" s="9">
        <v>37683.360000000001</v>
      </c>
      <c r="J410" s="9"/>
      <c r="K410" s="7" t="s">
        <v>177</v>
      </c>
      <c r="L410" s="7" t="s">
        <v>32</v>
      </c>
      <c r="M410" s="7" t="s">
        <v>114</v>
      </c>
      <c r="N410" s="7" t="s">
        <v>86</v>
      </c>
      <c r="O410" s="7" t="str">
        <f>IFERROR(INDEX(Vendors!$B$2:$B$10,MATCH(N410,Vendors!$A$2:$A$10,0)),"")</f>
        <v>Gulf Coast Meat Supply</v>
      </c>
      <c r="P410" s="7" t="s">
        <v>115</v>
      </c>
    </row>
    <row r="411" spans="1:16" x14ac:dyDescent="0.25">
      <c r="A411" s="7">
        <v>205</v>
      </c>
      <c r="B411" s="7" t="s">
        <v>342</v>
      </c>
      <c r="C411" s="8">
        <v>46099</v>
      </c>
      <c r="D411" s="7" t="s">
        <v>82</v>
      </c>
      <c r="E411" s="7" t="str">
        <f>IFERROR(INDEX(Restaurants!$B$2:$B$6,MATCH(D411,Restaurants!$A$2:$A$6,0)),"")</f>
        <v>Trailhead Burger Co. #105 - Houston, TX</v>
      </c>
      <c r="F411" s="7" t="s">
        <v>31</v>
      </c>
      <c r="G411" s="7" t="str">
        <f>IFERROR(INDEX(Chart_of_Accounts!$B$2:$B$18,MATCH(F411,Chart_of_Accounts!$A$2:$A$18,0)),"")</f>
        <v>Cash</v>
      </c>
      <c r="H411" s="7" t="str">
        <f>IFERROR(INDEX(Chart_of_Accounts!$C$2:$C$18,MATCH(F411,Chart_of_Accounts!$A$2:$A$18,0)),"")</f>
        <v>Asset</v>
      </c>
      <c r="I411" s="9"/>
      <c r="J411" s="9">
        <v>37683.360000000001</v>
      </c>
      <c r="K411" s="7" t="s">
        <v>177</v>
      </c>
      <c r="L411" s="7" t="s">
        <v>32</v>
      </c>
      <c r="M411" s="7" t="s">
        <v>114</v>
      </c>
      <c r="N411" s="7" t="s">
        <v>86</v>
      </c>
      <c r="O411" s="7" t="str">
        <f>IFERROR(INDEX(Vendors!$B$2:$B$10,MATCH(N411,Vendors!$A$2:$A$10,0)),"")</f>
        <v>Gulf Coast Meat Supply</v>
      </c>
      <c r="P411" s="7" t="s">
        <v>115</v>
      </c>
    </row>
  </sheetData>
  <dataValidations count="2">
    <dataValidation type="list" sqref="L2:L411" xr:uid="{00000000-0002-0000-0400-000003000000}">
      <formula1>"Cash,Credit Card,Delivery Platform Settlement,N/A"</formula1>
      <formula2>0</formula2>
    </dataValidation>
    <dataValidation type="list" sqref="M2:M411" xr:uid="{00000000-0002-0000-0400-000004000000}">
      <formula1>"Dine-In,Drive-Thru,Delivery,Corporate"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400-000000000000}">
          <x14:formula1>
            <xm:f>Restaurants!$A$2:$A$6</xm:f>
          </x14:formula1>
          <x14:formula2>
            <xm:f>0</xm:f>
          </x14:formula2>
          <xm:sqref>D2:D411</xm:sqref>
        </x14:dataValidation>
        <x14:dataValidation type="list" xr:uid="{00000000-0002-0000-0400-000001000000}">
          <x14:formula1>
            <xm:f>Chart_of_Accounts!$A$2:$A$18</xm:f>
          </x14:formula1>
          <x14:formula2>
            <xm:f>0</xm:f>
          </x14:formula2>
          <xm:sqref>F2:F411</xm:sqref>
        </x14:dataValidation>
        <x14:dataValidation type="list" allowBlank="1" xr:uid="{00000000-0002-0000-0400-000002000000}">
          <x14:formula1>
            <xm:f>Vendors!$A$2:$A$10</xm:f>
          </x14:formula1>
          <x14:formula2>
            <xm:f>0</xm:f>
          </x14:formula2>
          <xm:sqref>N2:N411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8"/>
  <sheetViews>
    <sheetView tabSelected="1" zoomScaleNormal="100" workbookViewId="0">
      <selection activeCell="E2" sqref="E2"/>
    </sheetView>
  </sheetViews>
  <sheetFormatPr defaultColWidth="8.7109375" defaultRowHeight="15" x14ac:dyDescent="0.25"/>
  <cols>
    <col min="1" max="1" width="12" customWidth="1"/>
    <col min="2" max="2" width="24" customWidth="1"/>
    <col min="3" max="3" width="14" customWidth="1"/>
    <col min="4" max="7" width="15" customWidth="1"/>
  </cols>
  <sheetData>
    <row r="1" spans="1:7" ht="25.5" x14ac:dyDescent="0.25">
      <c r="A1" s="5" t="s">
        <v>27</v>
      </c>
      <c r="B1" s="5" t="s">
        <v>28</v>
      </c>
      <c r="C1" s="5" t="s">
        <v>29</v>
      </c>
      <c r="D1" s="5" t="s">
        <v>343</v>
      </c>
      <c r="E1" s="5" t="s">
        <v>344</v>
      </c>
      <c r="F1" s="5" t="s">
        <v>345</v>
      </c>
      <c r="G1" s="5" t="s">
        <v>30</v>
      </c>
    </row>
    <row r="2" spans="1:7" x14ac:dyDescent="0.25">
      <c r="A2" s="10" t="str">
        <f>Chart_of_Accounts!A2</f>
        <v>1000</v>
      </c>
      <c r="B2" s="10" t="str">
        <f>Chart_of_Accounts!B2</f>
        <v>Cash</v>
      </c>
      <c r="C2" s="10" t="str">
        <f>Chart_of_Accounts!C2</f>
        <v>Asset</v>
      </c>
      <c r="D2" s="11">
        <f>SUMIF(Transactions!$F$2:$F$411,A2,Transactions!$I$2:$I$411)</f>
        <v>2254604</v>
      </c>
      <c r="E2" s="11">
        <f>SUMIF(Transactions!$F$2:$F$411,A2,Transactions!$J$2:$J$411)</f>
        <v>1648615.6800000006</v>
      </c>
      <c r="F2" s="11">
        <f>D2-E2</f>
        <v>605988.31999999937</v>
      </c>
      <c r="G2" s="10" t="str">
        <f>Chart_of_Accounts!D2</f>
        <v>Debit</v>
      </c>
    </row>
    <row r="3" spans="1:7" x14ac:dyDescent="0.25">
      <c r="A3" s="10" t="str">
        <f>Chart_of_Accounts!A3</f>
        <v>1010</v>
      </c>
      <c r="B3" s="10" t="str">
        <f>Chart_of_Accounts!B3</f>
        <v>Accounts Receivable</v>
      </c>
      <c r="C3" s="10" t="str">
        <f>Chart_of_Accounts!C3</f>
        <v>Asset</v>
      </c>
      <c r="D3" s="11">
        <f>SUMIF(Transactions!$F$2:$F$411,A3,Transactions!$I$2:$I$411)</f>
        <v>316404</v>
      </c>
      <c r="E3" s="11">
        <f>SUMIF(Transactions!$F$2:$F$411,A3,Transactions!$J$2:$J$411)</f>
        <v>316404</v>
      </c>
      <c r="F3" s="11">
        <f t="shared" ref="F2:F18" si="0">D3-E3</f>
        <v>0</v>
      </c>
      <c r="G3" s="10" t="str">
        <f>Chart_of_Accounts!D3</f>
        <v>Debit</v>
      </c>
    </row>
    <row r="4" spans="1:7" x14ac:dyDescent="0.25">
      <c r="A4" s="10" t="str">
        <f>Chart_of_Accounts!A4</f>
        <v>1020</v>
      </c>
      <c r="B4" s="10" t="str">
        <f>Chart_of_Accounts!B4</f>
        <v>Inventory</v>
      </c>
      <c r="C4" s="10" t="str">
        <f>Chart_of_Accounts!C4</f>
        <v>Asset</v>
      </c>
      <c r="D4" s="11">
        <f>SUMIF(Transactions!$F$2:$F$411,A4,Transactions!$I$2:$I$411)</f>
        <v>566289.11</v>
      </c>
      <c r="E4" s="11">
        <f>SUMIF(Transactions!$F$2:$F$411,A4,Transactions!$J$2:$J$411)</f>
        <v>539322.96</v>
      </c>
      <c r="F4" s="11">
        <f t="shared" si="0"/>
        <v>26966.150000000023</v>
      </c>
      <c r="G4" s="10" t="str">
        <f>Chart_of_Accounts!D4</f>
        <v>Debit</v>
      </c>
    </row>
    <row r="5" spans="1:7" x14ac:dyDescent="0.25">
      <c r="A5" s="10" t="str">
        <f>Chart_of_Accounts!A5</f>
        <v>1030</v>
      </c>
      <c r="B5" s="10" t="str">
        <f>Chart_of_Accounts!B5</f>
        <v>Equipment</v>
      </c>
      <c r="C5" s="10" t="str">
        <f>Chart_of_Accounts!C5</f>
        <v>Asset</v>
      </c>
      <c r="D5" s="11">
        <f>SUMIF(Transactions!$F$2:$F$411,A5,Transactions!$I$2:$I$411)</f>
        <v>475000</v>
      </c>
      <c r="E5" s="11">
        <f>SUMIF(Transactions!$F$2:$F$411,A5,Transactions!$J$2:$J$411)</f>
        <v>0</v>
      </c>
      <c r="F5" s="11">
        <f t="shared" si="0"/>
        <v>475000</v>
      </c>
      <c r="G5" s="10" t="str">
        <f>Chart_of_Accounts!D5</f>
        <v>Debit</v>
      </c>
    </row>
    <row r="6" spans="1:7" x14ac:dyDescent="0.25">
      <c r="A6" s="10" t="str">
        <f>Chart_of_Accounts!A6</f>
        <v>2000</v>
      </c>
      <c r="B6" s="10" t="str">
        <f>Chart_of_Accounts!B6</f>
        <v>Accounts Payable</v>
      </c>
      <c r="C6" s="10" t="str">
        <f>Chart_of_Accounts!C6</f>
        <v>Liability</v>
      </c>
      <c r="D6" s="11">
        <f>SUMIF(Transactions!$F$2:$F$411,A6,Transactions!$I$2:$I$411)</f>
        <v>330572.65999999997</v>
      </c>
      <c r="E6" s="11">
        <f>SUMIF(Transactions!$F$2:$F$411,A6,Transactions!$J$2:$J$411)</f>
        <v>566289.11</v>
      </c>
      <c r="F6" s="11">
        <f t="shared" si="0"/>
        <v>-235716.45</v>
      </c>
      <c r="G6" s="10" t="str">
        <f>Chart_of_Accounts!D6</f>
        <v>Credit</v>
      </c>
    </row>
    <row r="7" spans="1:7" x14ac:dyDescent="0.25">
      <c r="A7" s="10" t="str">
        <f>Chart_of_Accounts!A7</f>
        <v>2010</v>
      </c>
      <c r="B7" s="10" t="str">
        <f>Chart_of_Accounts!B7</f>
        <v>Loan Payable</v>
      </c>
      <c r="C7" s="10" t="str">
        <f>Chart_of_Accounts!C7</f>
        <v>Liability</v>
      </c>
      <c r="D7" s="11">
        <f>SUMIF(Transactions!$F$2:$F$411,A7,Transactions!$I$2:$I$411)</f>
        <v>0</v>
      </c>
      <c r="E7" s="11">
        <f>SUMIF(Transactions!$F$2:$F$411,A7,Transactions!$J$2:$J$411)</f>
        <v>200000</v>
      </c>
      <c r="F7" s="11">
        <f t="shared" si="0"/>
        <v>-200000</v>
      </c>
      <c r="G7" s="10" t="str">
        <f>Chart_of_Accounts!D7</f>
        <v>Credit</v>
      </c>
    </row>
    <row r="8" spans="1:7" x14ac:dyDescent="0.25">
      <c r="A8" s="10" t="str">
        <f>Chart_of_Accounts!A8</f>
        <v>3000</v>
      </c>
      <c r="B8" s="10" t="str">
        <f>Chart_of_Accounts!B8</f>
        <v>Owner's Equity</v>
      </c>
      <c r="C8" s="10" t="str">
        <f>Chart_of_Accounts!C8</f>
        <v>Equity</v>
      </c>
      <c r="D8" s="11">
        <f>SUMIF(Transactions!$F$2:$F$411,A8,Transactions!$I$2:$I$411)</f>
        <v>0</v>
      </c>
      <c r="E8" s="11">
        <f>SUMIF(Transactions!$F$2:$F$411,A8,Transactions!$J$2:$J$411)</f>
        <v>300000</v>
      </c>
      <c r="F8" s="11">
        <f t="shared" si="0"/>
        <v>-300000</v>
      </c>
      <c r="G8" s="10" t="str">
        <f>Chart_of_Accounts!D8</f>
        <v>Credit</v>
      </c>
    </row>
    <row r="9" spans="1:7" x14ac:dyDescent="0.25">
      <c r="A9" s="10" t="str">
        <f>Chart_of_Accounts!A9</f>
        <v>4000</v>
      </c>
      <c r="B9" s="10" t="str">
        <f>Chart_of_Accounts!B9</f>
        <v>Restaurant Sales</v>
      </c>
      <c r="C9" s="10" t="str">
        <f>Chart_of_Accounts!C9</f>
        <v>Revenue</v>
      </c>
      <c r="D9" s="11">
        <f>SUMIF(Transactions!$F$2:$F$411,A9,Transactions!$I$2:$I$411)</f>
        <v>0</v>
      </c>
      <c r="E9" s="11">
        <f>SUMIF(Transactions!$F$2:$F$411,A9,Transactions!$J$2:$J$411)</f>
        <v>1438200</v>
      </c>
      <c r="F9" s="11">
        <f t="shared" si="0"/>
        <v>-1438200</v>
      </c>
      <c r="G9" s="10" t="str">
        <f>Chart_of_Accounts!D9</f>
        <v>Credit</v>
      </c>
    </row>
    <row r="10" spans="1:7" x14ac:dyDescent="0.25">
      <c r="A10" s="10" t="str">
        <f>Chart_of_Accounts!A10</f>
        <v>4010</v>
      </c>
      <c r="B10" s="10" t="str">
        <f>Chart_of_Accounts!B10</f>
        <v>Delivery Sales</v>
      </c>
      <c r="C10" s="10" t="str">
        <f>Chart_of_Accounts!C10</f>
        <v>Revenue</v>
      </c>
      <c r="D10" s="11">
        <f>SUMIF(Transactions!$F$2:$F$411,A10,Transactions!$I$2:$I$411)</f>
        <v>0</v>
      </c>
      <c r="E10" s="11">
        <f>SUMIF(Transactions!$F$2:$F$411,A10,Transactions!$J$2:$J$411)</f>
        <v>316404</v>
      </c>
      <c r="F10" s="11">
        <f t="shared" si="0"/>
        <v>-316404</v>
      </c>
      <c r="G10" s="10" t="str">
        <f>Chart_of_Accounts!D10</f>
        <v>Credit</v>
      </c>
    </row>
    <row r="11" spans="1:7" x14ac:dyDescent="0.25">
      <c r="A11" s="10" t="str">
        <f>Chart_of_Accounts!A11</f>
        <v>5000</v>
      </c>
      <c r="B11" s="10" t="str">
        <f>Chart_of_Accounts!B11</f>
        <v>Food Cost</v>
      </c>
      <c r="C11" s="10" t="str">
        <f>Chart_of_Accounts!C11</f>
        <v>Expense</v>
      </c>
      <c r="D11" s="11">
        <f>SUMIF(Transactions!$F$2:$F$411,A11,Transactions!$I$2:$I$411)</f>
        <v>539322.96</v>
      </c>
      <c r="E11" s="11">
        <f>SUMIF(Transactions!$F$2:$F$411,A11,Transactions!$J$2:$J$411)</f>
        <v>0</v>
      </c>
      <c r="F11" s="11">
        <f t="shared" si="0"/>
        <v>539322.96</v>
      </c>
      <c r="G11" s="10" t="str">
        <f>Chart_of_Accounts!D11</f>
        <v>Debit</v>
      </c>
    </row>
    <row r="12" spans="1:7" x14ac:dyDescent="0.25">
      <c r="A12" s="10" t="str">
        <f>Chart_of_Accounts!A12</f>
        <v>5010</v>
      </c>
      <c r="B12" s="10" t="str">
        <f>Chart_of_Accounts!B12</f>
        <v>Labor</v>
      </c>
      <c r="C12" s="10" t="str">
        <f>Chart_of_Accounts!C12</f>
        <v>Expense</v>
      </c>
      <c r="D12" s="11">
        <f>SUMIF(Transactions!$F$2:$F$411,A12,Transactions!$I$2:$I$411)</f>
        <v>456197.04</v>
      </c>
      <c r="E12" s="11">
        <f>SUMIF(Transactions!$F$2:$F$411,A12,Transactions!$J$2:$J$411)</f>
        <v>0</v>
      </c>
      <c r="F12" s="11">
        <f t="shared" si="0"/>
        <v>456197.04</v>
      </c>
      <c r="G12" s="10" t="str">
        <f>Chart_of_Accounts!D12</f>
        <v>Debit</v>
      </c>
    </row>
    <row r="13" spans="1:7" x14ac:dyDescent="0.25">
      <c r="A13" s="10" t="str">
        <f>Chart_of_Accounts!A13</f>
        <v>5020</v>
      </c>
      <c r="B13" s="10" t="str">
        <f>Chart_of_Accounts!B13</f>
        <v>Rent</v>
      </c>
      <c r="C13" s="10" t="str">
        <f>Chart_of_Accounts!C13</f>
        <v>Expense</v>
      </c>
      <c r="D13" s="11">
        <f>SUMIF(Transactions!$F$2:$F$411,A13,Transactions!$I$2:$I$411)</f>
        <v>135000</v>
      </c>
      <c r="E13" s="11">
        <f>SUMIF(Transactions!$F$2:$F$411,A13,Transactions!$J$2:$J$411)</f>
        <v>0</v>
      </c>
      <c r="F13" s="11">
        <f t="shared" si="0"/>
        <v>135000</v>
      </c>
      <c r="G13" s="10" t="str">
        <f>Chart_of_Accounts!D13</f>
        <v>Debit</v>
      </c>
    </row>
    <row r="14" spans="1:7" x14ac:dyDescent="0.25">
      <c r="A14" s="10" t="str">
        <f>Chart_of_Accounts!A14</f>
        <v>5030</v>
      </c>
      <c r="B14" s="10" t="str">
        <f>Chart_of_Accounts!B14</f>
        <v>Utilities</v>
      </c>
      <c r="C14" s="10" t="str">
        <f>Chart_of_Accounts!C14</f>
        <v>Expense</v>
      </c>
      <c r="D14" s="11">
        <f>SUMIF(Transactions!$F$2:$F$411,A14,Transactions!$I$2:$I$411)</f>
        <v>37698</v>
      </c>
      <c r="E14" s="11">
        <f>SUMIF(Transactions!$F$2:$F$411,A14,Transactions!$J$2:$J$411)</f>
        <v>0</v>
      </c>
      <c r="F14" s="11">
        <f t="shared" si="0"/>
        <v>37698</v>
      </c>
      <c r="G14" s="10" t="str">
        <f>Chart_of_Accounts!D14</f>
        <v>Debit</v>
      </c>
    </row>
    <row r="15" spans="1:7" x14ac:dyDescent="0.25">
      <c r="A15" s="10" t="str">
        <f>Chart_of_Accounts!A15</f>
        <v>5040</v>
      </c>
      <c r="B15" s="10" t="str">
        <f>Chart_of_Accounts!B15</f>
        <v>Delivery Fees</v>
      </c>
      <c r="C15" s="10" t="str">
        <f>Chart_of_Accounts!C15</f>
        <v>Expense</v>
      </c>
      <c r="D15" s="11">
        <f>SUMIF(Transactions!$F$2:$F$411,A15,Transactions!$I$2:$I$411)</f>
        <v>47460.599999999991</v>
      </c>
      <c r="E15" s="11">
        <f>SUMIF(Transactions!$F$2:$F$411,A15,Transactions!$J$2:$J$411)</f>
        <v>0</v>
      </c>
      <c r="F15" s="11">
        <f t="shared" si="0"/>
        <v>47460.599999999991</v>
      </c>
      <c r="G15" s="10" t="str">
        <f>Chart_of_Accounts!D15</f>
        <v>Debit</v>
      </c>
    </row>
    <row r="16" spans="1:7" x14ac:dyDescent="0.25">
      <c r="A16" s="10" t="str">
        <f>Chart_of_Accounts!A16</f>
        <v>5050</v>
      </c>
      <c r="B16" s="10" t="str">
        <f>Chart_of_Accounts!B16</f>
        <v>CC Processing Fees</v>
      </c>
      <c r="C16" s="10" t="str">
        <f>Chart_of_Accounts!C16</f>
        <v>Expense</v>
      </c>
      <c r="D16" s="11">
        <f>SUMIF(Transactions!$F$2:$F$411,A16,Transactions!$I$2:$I$411)</f>
        <v>43865.099999999991</v>
      </c>
      <c r="E16" s="11">
        <f>SUMIF(Transactions!$F$2:$F$411,A16,Transactions!$J$2:$J$411)</f>
        <v>0</v>
      </c>
      <c r="F16" s="11">
        <f t="shared" si="0"/>
        <v>43865.099999999991</v>
      </c>
      <c r="G16" s="10" t="str">
        <f>Chart_of_Accounts!D16</f>
        <v>Debit</v>
      </c>
    </row>
    <row r="17" spans="1:7" x14ac:dyDescent="0.25">
      <c r="A17" s="10" t="str">
        <f>Chart_of_Accounts!A17</f>
        <v>5060</v>
      </c>
      <c r="B17" s="10" t="str">
        <f>Chart_of_Accounts!B17</f>
        <v>Marketing</v>
      </c>
      <c r="C17" s="10" t="str">
        <f>Chart_of_Accounts!C17</f>
        <v>Expense</v>
      </c>
      <c r="D17" s="11">
        <f>SUMIF(Transactions!$F$2:$F$411,A17,Transactions!$I$2:$I$411)</f>
        <v>52638.12</v>
      </c>
      <c r="E17" s="11">
        <f>SUMIF(Transactions!$F$2:$F$411,A17,Transactions!$J$2:$J$411)</f>
        <v>0</v>
      </c>
      <c r="F17" s="11">
        <f t="shared" si="0"/>
        <v>52638.12</v>
      </c>
      <c r="G17" s="10" t="str">
        <f>Chart_of_Accounts!D17</f>
        <v>Debit</v>
      </c>
    </row>
    <row r="18" spans="1:7" x14ac:dyDescent="0.25">
      <c r="A18" s="10" t="str">
        <f>Chart_of_Accounts!A18</f>
        <v>5070</v>
      </c>
      <c r="B18" s="10" t="str">
        <f>Chart_of_Accounts!B18</f>
        <v>Franchise Fees</v>
      </c>
      <c r="C18" s="10" t="str">
        <f>Chart_of_Accounts!C18</f>
        <v>Expense</v>
      </c>
      <c r="D18" s="11">
        <f>SUMIF(Transactions!$F$2:$F$411,A18,Transactions!$I$2:$I$411)</f>
        <v>70184.159999999989</v>
      </c>
      <c r="E18" s="11">
        <f>SUMIF(Transactions!$F$2:$F$411,A18,Transactions!$J$2:$J$411)</f>
        <v>0</v>
      </c>
      <c r="F18" s="11">
        <f t="shared" si="0"/>
        <v>70184.159999999989</v>
      </c>
      <c r="G18" s="10" t="str">
        <f>Chart_of_Accounts!D18</f>
        <v>Debit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zoomScaleNormal="100" workbookViewId="0"/>
  </sheetViews>
  <sheetFormatPr defaultColWidth="8.7109375" defaultRowHeight="15" x14ac:dyDescent="0.25"/>
  <cols>
    <col min="1" max="1" width="32" customWidth="1"/>
    <col min="2" max="2" width="20" customWidth="1"/>
  </cols>
  <sheetData>
    <row r="1" spans="1:2" ht="18" x14ac:dyDescent="0.25">
      <c r="A1" s="1" t="s">
        <v>346</v>
      </c>
    </row>
    <row r="3" spans="1:2" x14ac:dyDescent="0.25">
      <c r="A3" s="4" t="s">
        <v>347</v>
      </c>
      <c r="B3" s="12">
        <f>SUM(General_Ledger!D2:D18)</f>
        <v>5325235.75</v>
      </c>
    </row>
    <row r="4" spans="1:2" x14ac:dyDescent="0.25">
      <c r="A4" s="4" t="s">
        <v>348</v>
      </c>
      <c r="B4" s="12">
        <f>SUM(General_Ledger!E2:E18)</f>
        <v>5325235.75</v>
      </c>
    </row>
    <row r="5" spans="1:2" x14ac:dyDescent="0.25">
      <c r="A5" s="4" t="s">
        <v>349</v>
      </c>
      <c r="B5" s="12">
        <f>B3-B4</f>
        <v>0</v>
      </c>
    </row>
    <row r="6" spans="1:2" x14ac:dyDescent="0.25">
      <c r="A6" s="4" t="s">
        <v>350</v>
      </c>
      <c r="B6" s="4" t="str">
        <f>IF(B5=0,"BALANCED","OUT OF BALANCE - investigate")</f>
        <v>BALANCED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8"/>
  <sheetViews>
    <sheetView zoomScaleNormal="100" workbookViewId="0">
      <selection activeCell="D26" sqref="D26"/>
    </sheetView>
  </sheetViews>
  <sheetFormatPr defaultColWidth="8.7109375" defaultRowHeight="15" x14ac:dyDescent="0.25"/>
  <cols>
    <col min="1" max="1" width="30" customWidth="1"/>
    <col min="2" max="4" width="16" customWidth="1"/>
  </cols>
  <sheetData>
    <row r="1" spans="1:4" ht="18" x14ac:dyDescent="0.25">
      <c r="A1" s="1" t="s">
        <v>351</v>
      </c>
    </row>
    <row r="3" spans="1:4" x14ac:dyDescent="0.25">
      <c r="A3" s="5" t="s">
        <v>352</v>
      </c>
      <c r="B3" s="5" t="s">
        <v>353</v>
      </c>
      <c r="C3" s="5" t="s">
        <v>354</v>
      </c>
      <c r="D3" s="5" t="s">
        <v>355</v>
      </c>
    </row>
    <row r="4" spans="1:4" x14ac:dyDescent="0.25">
      <c r="A4" s="7" t="s">
        <v>51</v>
      </c>
      <c r="B4" s="11">
        <f>SUMIFS(Transactions!$J$2:$J$411,Transactions!$F$2:$F$411,"4000",Transactions!$C$2:$C$411,"&gt;="&amp;DATE(2026,1,1),Transactions!$C$2:$C$411,"&lt;="&amp;EOMONTH(DATE(2026,1,1),0))-SUMIFS(Transactions!$I$2:$I$411,Transactions!$F$2:$F$411,"4000",Transactions!$C$2:$C$411,"&gt;="&amp;DATE(2026,1,1),Transactions!$C$2:$C$411,"&lt;="&amp;EOMONTH(DATE(2026,1,1),0))</f>
        <v>470000</v>
      </c>
      <c r="C4" s="11">
        <f>SUMIFS(Transactions!$J$2:$J$411,Transactions!$F$2:$F$411,"4000",Transactions!$C$2:$C$411,"&gt;="&amp;DATE(2026,2,1),Transactions!$C$2:$C$411,"&lt;="&amp;EOMONTH(DATE(2026,2,1),0))-SUMIFS(Transactions!$I$2:$I$411,Transactions!$F$2:$F$411,"4000",Transactions!$C$2:$C$411,"&gt;="&amp;DATE(2026,2,1),Transactions!$C$2:$C$411,"&lt;="&amp;EOMONTH(DATE(2026,2,1),0))</f>
        <v>479400</v>
      </c>
      <c r="D4" s="11">
        <f>SUMIFS(Transactions!$J$2:$J$411,Transactions!$F$2:$F$411,"4000",Transactions!$C$2:$C$411,"&gt;="&amp;DATE(2026,3,1),Transactions!$C$2:$C$411,"&lt;="&amp;EOMONTH(DATE(2026,3,1),0))-SUMIFS(Transactions!$I$2:$I$411,Transactions!$F$2:$F$411,"4000",Transactions!$C$2:$C$411,"&gt;="&amp;DATE(2026,3,1),Transactions!$C$2:$C$411,"&lt;="&amp;EOMONTH(DATE(2026,3,1),0))</f>
        <v>488800</v>
      </c>
    </row>
    <row r="5" spans="1:4" x14ac:dyDescent="0.25">
      <c r="A5" s="7" t="s">
        <v>54</v>
      </c>
      <c r="B5" s="11">
        <f>SUMIFS(Transactions!$J$2:$J$411,Transactions!$F$2:$F$411,"4010",Transactions!$C$2:$C$411,"&gt;="&amp;DATE(2026,1,1),Transactions!$C$2:$C$411,"&lt;="&amp;EOMONTH(DATE(2026,1,1),0))-SUMIFS(Transactions!$I$2:$I$411,Transactions!$F$2:$F$411,"4010",Transactions!$C$2:$C$411,"&gt;="&amp;DATE(2026,1,1),Transactions!$C$2:$C$411,"&lt;="&amp;EOMONTH(DATE(2026,1,1),0))</f>
        <v>103400</v>
      </c>
      <c r="C5" s="11">
        <f>SUMIFS(Transactions!$J$2:$J$411,Transactions!$F$2:$F$411,"4010",Transactions!$C$2:$C$411,"&gt;="&amp;DATE(2026,2,1),Transactions!$C$2:$C$411,"&lt;="&amp;EOMONTH(DATE(2026,2,1),0))-SUMIFS(Transactions!$I$2:$I$411,Transactions!$F$2:$F$411,"4010",Transactions!$C$2:$C$411,"&gt;="&amp;DATE(2026,2,1),Transactions!$C$2:$C$411,"&lt;="&amp;EOMONTH(DATE(2026,2,1),0))</f>
        <v>105468</v>
      </c>
      <c r="D5" s="11">
        <f>SUMIFS(Transactions!$J$2:$J$411,Transactions!$F$2:$F$411,"4010",Transactions!$C$2:$C$411,"&gt;="&amp;DATE(2026,3,1),Transactions!$C$2:$C$411,"&lt;="&amp;EOMONTH(DATE(2026,3,1),0))-SUMIFS(Transactions!$I$2:$I$411,Transactions!$F$2:$F$411,"4010",Transactions!$C$2:$C$411,"&gt;="&amp;DATE(2026,3,1),Transactions!$C$2:$C$411,"&lt;="&amp;EOMONTH(DATE(2026,3,1),0))</f>
        <v>107536</v>
      </c>
    </row>
    <row r="6" spans="1:4" x14ac:dyDescent="0.25">
      <c r="A6" s="13" t="s">
        <v>356</v>
      </c>
      <c r="B6" s="14">
        <f>B4+B5</f>
        <v>573400</v>
      </c>
      <c r="C6" s="14">
        <f>C4+C5</f>
        <v>584868</v>
      </c>
      <c r="D6" s="14">
        <f>D4+D5</f>
        <v>596336</v>
      </c>
    </row>
    <row r="7" spans="1:4" x14ac:dyDescent="0.25">
      <c r="A7" s="7" t="s">
        <v>56</v>
      </c>
      <c r="B7" s="11">
        <f>SUMIFS(Transactions!$I$2:$I$411,Transactions!$F$2:$F$411,"5000",Transactions!$C$2:$C$411,"&gt;="&amp;DATE(2026,1,1),Transactions!$C$2:$C$411,"&lt;="&amp;EOMONTH(DATE(2026,1,1),0))-SUMIFS(Transactions!$J$2:$J$411,Transactions!$F$2:$F$411,"5000",Transactions!$C$2:$C$411,"&gt;="&amp;DATE(2026,1,1),Transactions!$C$2:$C$411,"&lt;="&amp;EOMONTH(DATE(2026,1,1),0))</f>
        <v>172020</v>
      </c>
      <c r="C7" s="11">
        <f>SUMIFS(Transactions!$I$2:$I$411,Transactions!$F$2:$F$411,"5000",Transactions!$C$2:$C$411,"&gt;="&amp;DATE(2026,2,1),Transactions!$C$2:$C$411,"&lt;="&amp;EOMONTH(DATE(2026,2,1),0))-SUMIFS(Transactions!$J$2:$J$411,Transactions!$F$2:$F$411,"5000",Transactions!$C$2:$C$411,"&gt;="&amp;DATE(2026,2,1),Transactions!$C$2:$C$411,"&lt;="&amp;EOMONTH(DATE(2026,2,1),0))</f>
        <v>175460.40000000002</v>
      </c>
      <c r="D7" s="11">
        <f>SUMIFS(Transactions!$I$2:$I$411,Transactions!$F$2:$F$411,"5000",Transactions!$C$2:$C$411,"&gt;="&amp;DATE(2026,3,1),Transactions!$C$2:$C$411,"&lt;="&amp;EOMONTH(DATE(2026,3,1),0))-SUMIFS(Transactions!$J$2:$J$411,Transactions!$F$2:$F$411,"5000",Transactions!$C$2:$C$411,"&gt;="&amp;DATE(2026,3,1),Transactions!$C$2:$C$411,"&lt;="&amp;EOMONTH(DATE(2026,3,1),0))</f>
        <v>191842.56</v>
      </c>
    </row>
    <row r="8" spans="1:4" x14ac:dyDescent="0.25">
      <c r="A8" s="7" t="s">
        <v>59</v>
      </c>
      <c r="B8" s="11">
        <f>SUMIFS(Transactions!$I$2:$I$411,Transactions!$F$2:$F$411,"5010",Transactions!$C$2:$C$411,"&gt;="&amp;DATE(2026,1,1),Transactions!$C$2:$C$411,"&lt;="&amp;EOMONTH(DATE(2026,1,1),0))-SUMIFS(Transactions!$J$2:$J$411,Transactions!$F$2:$F$411,"5010",Transactions!$C$2:$C$411,"&gt;="&amp;DATE(2026,1,1),Transactions!$C$2:$C$411,"&lt;="&amp;EOMONTH(DATE(2026,1,1),0))</f>
        <v>149084</v>
      </c>
      <c r="C8" s="11">
        <f>SUMIFS(Transactions!$I$2:$I$411,Transactions!$F$2:$F$411,"5010",Transactions!$C$2:$C$411,"&gt;="&amp;DATE(2026,2,1),Transactions!$C$2:$C$411,"&lt;="&amp;EOMONTH(DATE(2026,2,1),0))-SUMIFS(Transactions!$J$2:$J$411,Transactions!$F$2:$F$411,"5010",Transactions!$C$2:$C$411,"&gt;="&amp;DATE(2026,2,1),Transactions!$C$2:$C$411,"&lt;="&amp;EOMONTH(DATE(2026,2,1),0))</f>
        <v>152065.68</v>
      </c>
      <c r="D8" s="11">
        <f>SUMIFS(Transactions!$I$2:$I$411,Transactions!$F$2:$F$411,"5010",Transactions!$C$2:$C$411,"&gt;="&amp;DATE(2026,3,1),Transactions!$C$2:$C$411,"&lt;="&amp;EOMONTH(DATE(2026,3,1),0))-SUMIFS(Transactions!$J$2:$J$411,Transactions!$F$2:$F$411,"5010",Transactions!$C$2:$C$411,"&gt;="&amp;DATE(2026,3,1),Transactions!$C$2:$C$411,"&lt;="&amp;EOMONTH(DATE(2026,3,1),0))</f>
        <v>155047.36000000002</v>
      </c>
    </row>
    <row r="9" spans="1:4" x14ac:dyDescent="0.25">
      <c r="A9" s="13" t="s">
        <v>357</v>
      </c>
      <c r="B9" s="14">
        <f>B6-B7-B8</f>
        <v>252296</v>
      </c>
      <c r="C9" s="14">
        <f>C6-C7-C8</f>
        <v>257341.91999999998</v>
      </c>
      <c r="D9" s="14">
        <f>D6-D7-D8</f>
        <v>249446.08</v>
      </c>
    </row>
    <row r="10" spans="1:4" x14ac:dyDescent="0.25">
      <c r="A10" s="7" t="s">
        <v>61</v>
      </c>
      <c r="B10" s="11">
        <f>SUMIFS(Transactions!$I$2:$I$411,Transactions!$F$2:$F$411,"5020",Transactions!$C$2:$C$411,"&gt;="&amp;DATE(2026,1,1),Transactions!$C$2:$C$411,"&lt;="&amp;EOMONTH(DATE(2026,1,1),0))-SUMIFS(Transactions!$J$2:$J$411,Transactions!$F$2:$F$411,"5020",Transactions!$C$2:$C$411,"&gt;="&amp;DATE(2026,1,1),Transactions!$C$2:$C$411,"&lt;="&amp;EOMONTH(DATE(2026,1,1),0))</f>
        <v>45000</v>
      </c>
      <c r="C10" s="11">
        <f>SUMIFS(Transactions!$I$2:$I$411,Transactions!$F$2:$F$411,"5020",Transactions!$C$2:$C$411,"&gt;="&amp;DATE(2026,2,1),Transactions!$C$2:$C$411,"&lt;="&amp;EOMONTH(DATE(2026,2,1),0))-SUMIFS(Transactions!$J$2:$J$411,Transactions!$F$2:$F$411,"5020",Transactions!$C$2:$C$411,"&gt;="&amp;DATE(2026,2,1),Transactions!$C$2:$C$411,"&lt;="&amp;EOMONTH(DATE(2026,2,1),0))</f>
        <v>45000</v>
      </c>
      <c r="D10" s="11">
        <f>SUMIFS(Transactions!$I$2:$I$411,Transactions!$F$2:$F$411,"5020",Transactions!$C$2:$C$411,"&gt;="&amp;DATE(2026,3,1),Transactions!$C$2:$C$411,"&lt;="&amp;EOMONTH(DATE(2026,3,1),0))-SUMIFS(Transactions!$J$2:$J$411,Transactions!$F$2:$F$411,"5020",Transactions!$C$2:$C$411,"&gt;="&amp;DATE(2026,3,1),Transactions!$C$2:$C$411,"&lt;="&amp;EOMONTH(DATE(2026,3,1),0))</f>
        <v>45000</v>
      </c>
    </row>
    <row r="11" spans="1:4" x14ac:dyDescent="0.25">
      <c r="A11" s="7" t="s">
        <v>63</v>
      </c>
      <c r="B11" s="11">
        <f>SUMIFS(Transactions!$I$2:$I$411,Transactions!$F$2:$F$411,"5030",Transactions!$C$2:$C$411,"&gt;="&amp;DATE(2026,1,1),Transactions!$C$2:$C$411,"&lt;="&amp;EOMONTH(DATE(2026,1,1),0))-SUMIFS(Transactions!$J$2:$J$411,Transactions!$F$2:$F$411,"5030",Transactions!$C$2:$C$411,"&gt;="&amp;DATE(2026,1,1),Transactions!$C$2:$C$411,"&lt;="&amp;EOMONTH(DATE(2026,1,1),0))</f>
        <v>12200</v>
      </c>
      <c r="C11" s="11">
        <f>SUMIFS(Transactions!$I$2:$I$411,Transactions!$F$2:$F$411,"5030",Transactions!$C$2:$C$411,"&gt;="&amp;DATE(2026,2,1),Transactions!$C$2:$C$411,"&lt;="&amp;EOMONTH(DATE(2026,2,1),0))-SUMIFS(Transactions!$J$2:$J$411,Transactions!$F$2:$F$411,"5030",Transactions!$C$2:$C$411,"&gt;="&amp;DATE(2026,2,1),Transactions!$C$2:$C$411,"&lt;="&amp;EOMONTH(DATE(2026,2,1),0))</f>
        <v>12566</v>
      </c>
      <c r="D11" s="11">
        <f>SUMIFS(Transactions!$I$2:$I$411,Transactions!$F$2:$F$411,"5030",Transactions!$C$2:$C$411,"&gt;="&amp;DATE(2026,3,1),Transactions!$C$2:$C$411,"&lt;="&amp;EOMONTH(DATE(2026,3,1),0))-SUMIFS(Transactions!$J$2:$J$411,Transactions!$F$2:$F$411,"5030",Transactions!$C$2:$C$411,"&gt;="&amp;DATE(2026,3,1),Transactions!$C$2:$C$411,"&lt;="&amp;EOMONTH(DATE(2026,3,1),0))</f>
        <v>12932</v>
      </c>
    </row>
    <row r="12" spans="1:4" x14ac:dyDescent="0.25">
      <c r="A12" s="7" t="s">
        <v>65</v>
      </c>
      <c r="B12" s="11">
        <f>SUMIFS(Transactions!$I$2:$I$411,Transactions!$F$2:$F$411,"5040",Transactions!$C$2:$C$411,"&gt;="&amp;DATE(2026,1,1),Transactions!$C$2:$C$411,"&lt;="&amp;EOMONTH(DATE(2026,1,1),0))-SUMIFS(Transactions!$J$2:$J$411,Transactions!$F$2:$F$411,"5040",Transactions!$C$2:$C$411,"&gt;="&amp;DATE(2026,1,1),Transactions!$C$2:$C$411,"&lt;="&amp;EOMONTH(DATE(2026,1,1),0))</f>
        <v>15510</v>
      </c>
      <c r="C12" s="11">
        <f>SUMIFS(Transactions!$I$2:$I$411,Transactions!$F$2:$F$411,"5040",Transactions!$C$2:$C$411,"&gt;="&amp;DATE(2026,2,1),Transactions!$C$2:$C$411,"&lt;="&amp;EOMONTH(DATE(2026,2,1),0))-SUMIFS(Transactions!$J$2:$J$411,Transactions!$F$2:$F$411,"5040",Transactions!$C$2:$C$411,"&gt;="&amp;DATE(2026,2,1),Transactions!$C$2:$C$411,"&lt;="&amp;EOMONTH(DATE(2026,2,1),0))</f>
        <v>15820.2</v>
      </c>
      <c r="D12" s="11">
        <f>SUMIFS(Transactions!$I$2:$I$411,Transactions!$F$2:$F$411,"5040",Transactions!$C$2:$C$411,"&gt;="&amp;DATE(2026,3,1),Transactions!$C$2:$C$411,"&lt;="&amp;EOMONTH(DATE(2026,3,1),0))-SUMIFS(Transactions!$J$2:$J$411,Transactions!$F$2:$F$411,"5040",Transactions!$C$2:$C$411,"&gt;="&amp;DATE(2026,3,1),Transactions!$C$2:$C$411,"&lt;="&amp;EOMONTH(DATE(2026,3,1),0))</f>
        <v>16130.400000000001</v>
      </c>
    </row>
    <row r="13" spans="1:4" x14ac:dyDescent="0.25">
      <c r="A13" s="7" t="s">
        <v>67</v>
      </c>
      <c r="B13" s="11">
        <f>SUMIFS(Transactions!$I$2:$I$411,Transactions!$F$2:$F$411,"5050",Transactions!$C$2:$C$411,"&gt;="&amp;DATE(2026,1,1),Transactions!$C$2:$C$411,"&lt;="&amp;EOMONTH(DATE(2026,1,1),0))-SUMIFS(Transactions!$J$2:$J$411,Transactions!$F$2:$F$411,"5050",Transactions!$C$2:$C$411,"&gt;="&amp;DATE(2026,1,1),Transactions!$C$2:$C$411,"&lt;="&amp;EOMONTH(DATE(2026,1,1),0))</f>
        <v>14335</v>
      </c>
      <c r="C13" s="11">
        <f>SUMIFS(Transactions!$I$2:$I$411,Transactions!$F$2:$F$411,"5050",Transactions!$C$2:$C$411,"&gt;="&amp;DATE(2026,2,1),Transactions!$C$2:$C$411,"&lt;="&amp;EOMONTH(DATE(2026,2,1),0))-SUMIFS(Transactions!$J$2:$J$411,Transactions!$F$2:$F$411,"5050",Transactions!$C$2:$C$411,"&gt;="&amp;DATE(2026,2,1),Transactions!$C$2:$C$411,"&lt;="&amp;EOMONTH(DATE(2026,2,1),0))</f>
        <v>14621.7</v>
      </c>
      <c r="D13" s="11">
        <f>SUMIFS(Transactions!$I$2:$I$411,Transactions!$F$2:$F$411,"5050",Transactions!$C$2:$C$411,"&gt;="&amp;DATE(2026,3,1),Transactions!$C$2:$C$411,"&lt;="&amp;EOMONTH(DATE(2026,3,1),0))-SUMIFS(Transactions!$J$2:$J$411,Transactions!$F$2:$F$411,"5050",Transactions!$C$2:$C$411,"&gt;="&amp;DATE(2026,3,1),Transactions!$C$2:$C$411,"&lt;="&amp;EOMONTH(DATE(2026,3,1),0))</f>
        <v>14908.400000000001</v>
      </c>
    </row>
    <row r="14" spans="1:4" x14ac:dyDescent="0.25">
      <c r="A14" s="7" t="s">
        <v>69</v>
      </c>
      <c r="B14" s="11">
        <f>SUMIFS(Transactions!$I$2:$I$411,Transactions!$F$2:$F$411,"5060",Transactions!$C$2:$C$411,"&gt;="&amp;DATE(2026,1,1),Transactions!$C$2:$C$411,"&lt;="&amp;EOMONTH(DATE(2026,1,1),0))-SUMIFS(Transactions!$J$2:$J$411,Transactions!$F$2:$F$411,"5060",Transactions!$C$2:$C$411,"&gt;="&amp;DATE(2026,1,1),Transactions!$C$2:$C$411,"&lt;="&amp;EOMONTH(DATE(2026,1,1),0))</f>
        <v>17202</v>
      </c>
      <c r="C14" s="11">
        <f>SUMIFS(Transactions!$I$2:$I$411,Transactions!$F$2:$F$411,"5060",Transactions!$C$2:$C$411,"&gt;="&amp;DATE(2026,2,1),Transactions!$C$2:$C$411,"&lt;="&amp;EOMONTH(DATE(2026,2,1),0))-SUMIFS(Transactions!$J$2:$J$411,Transactions!$F$2:$F$411,"5060",Transactions!$C$2:$C$411,"&gt;="&amp;DATE(2026,2,1),Transactions!$C$2:$C$411,"&lt;="&amp;EOMONTH(DATE(2026,2,1),0))</f>
        <v>17546.04</v>
      </c>
      <c r="D14" s="11">
        <f>SUMIFS(Transactions!$I$2:$I$411,Transactions!$F$2:$F$411,"5060",Transactions!$C$2:$C$411,"&gt;="&amp;DATE(2026,3,1),Transactions!$C$2:$C$411,"&lt;="&amp;EOMONTH(DATE(2026,3,1),0))-SUMIFS(Transactions!$J$2:$J$411,Transactions!$F$2:$F$411,"5060",Transactions!$C$2:$C$411,"&gt;="&amp;DATE(2026,3,1),Transactions!$C$2:$C$411,"&lt;="&amp;EOMONTH(DATE(2026,3,1),0))</f>
        <v>17890.079999999998</v>
      </c>
    </row>
    <row r="15" spans="1:4" x14ac:dyDescent="0.25">
      <c r="A15" s="7" t="s">
        <v>71</v>
      </c>
      <c r="B15" s="11">
        <f>SUMIFS(Transactions!$I$2:$I$411,Transactions!$F$2:$F$411,"5070",Transactions!$C$2:$C$411,"&gt;="&amp;DATE(2026,1,1),Transactions!$C$2:$C$411,"&lt;="&amp;EOMONTH(DATE(2026,1,1),0))-SUMIFS(Transactions!$J$2:$J$411,Transactions!$F$2:$F$411,"5070",Transactions!$C$2:$C$411,"&gt;="&amp;DATE(2026,1,1),Transactions!$C$2:$C$411,"&lt;="&amp;EOMONTH(DATE(2026,1,1),0))</f>
        <v>22936</v>
      </c>
      <c r="C15" s="11">
        <f>SUMIFS(Transactions!$I$2:$I$411,Transactions!$F$2:$F$411,"5070",Transactions!$C$2:$C$411,"&gt;="&amp;DATE(2026,2,1),Transactions!$C$2:$C$411,"&lt;="&amp;EOMONTH(DATE(2026,2,1),0))-SUMIFS(Transactions!$J$2:$J$411,Transactions!$F$2:$F$411,"5070",Transactions!$C$2:$C$411,"&gt;="&amp;DATE(2026,2,1),Transactions!$C$2:$C$411,"&lt;="&amp;EOMONTH(DATE(2026,2,1),0))</f>
        <v>23394.720000000001</v>
      </c>
      <c r="D15" s="11">
        <f>SUMIFS(Transactions!$I$2:$I$411,Transactions!$F$2:$F$411,"5070",Transactions!$C$2:$C$411,"&gt;="&amp;DATE(2026,3,1),Transactions!$C$2:$C$411,"&lt;="&amp;EOMONTH(DATE(2026,3,1),0))-SUMIFS(Transactions!$J$2:$J$411,Transactions!$F$2:$F$411,"5070",Transactions!$C$2:$C$411,"&gt;="&amp;DATE(2026,3,1),Transactions!$C$2:$C$411,"&lt;="&amp;EOMONTH(DATE(2026,3,1),0))</f>
        <v>23853.440000000002</v>
      </c>
    </row>
    <row r="16" spans="1:4" x14ac:dyDescent="0.25">
      <c r="A16" s="13" t="s">
        <v>358</v>
      </c>
      <c r="B16" s="14">
        <f>B10+B11+B12+B13+B14+B15</f>
        <v>127183</v>
      </c>
      <c r="C16" s="14">
        <f>C10+C11+C12+C13+C14+C15</f>
        <v>128948.66</v>
      </c>
      <c r="D16" s="14">
        <f>D10+D11+D12+D13+D14+D15</f>
        <v>130714.31999999999</v>
      </c>
    </row>
    <row r="17" spans="1:4" x14ac:dyDescent="0.25">
      <c r="A17" s="13" t="s">
        <v>359</v>
      </c>
      <c r="B17" s="14">
        <f>B9-B16</f>
        <v>125113</v>
      </c>
      <c r="C17" s="14">
        <f>C9-C16</f>
        <v>128393.25999999998</v>
      </c>
      <c r="D17" s="14">
        <f>D9-D16</f>
        <v>118731.76</v>
      </c>
    </row>
    <row r="18" spans="1:4" x14ac:dyDescent="0.25">
      <c r="A18" s="13" t="s">
        <v>360</v>
      </c>
      <c r="B18" s="15">
        <f>IFERROR(B17/B6,0)</f>
        <v>0.21819497732821766</v>
      </c>
      <c r="C18" s="15">
        <f>IFERROR(C17/C6,0)</f>
        <v>0.21952519200913706</v>
      </c>
      <c r="D18" s="15">
        <f>IFERROR(D17/D6,0)</f>
        <v>0.19910211692736979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7"/>
  <sheetViews>
    <sheetView zoomScaleNormal="100" workbookViewId="0">
      <selection activeCell="C21" sqref="C21"/>
    </sheetView>
  </sheetViews>
  <sheetFormatPr defaultColWidth="8.7109375" defaultRowHeight="15" x14ac:dyDescent="0.25"/>
  <cols>
    <col min="1" max="1" width="30" customWidth="1"/>
    <col min="2" max="4" width="16" customWidth="1"/>
  </cols>
  <sheetData>
    <row r="1" spans="1:4" ht="18" x14ac:dyDescent="0.25">
      <c r="A1" s="1" t="s">
        <v>361</v>
      </c>
    </row>
    <row r="3" spans="1:4" x14ac:dyDescent="0.25">
      <c r="A3" s="5" t="s">
        <v>352</v>
      </c>
      <c r="B3" s="5" t="s">
        <v>353</v>
      </c>
      <c r="C3" s="5" t="s">
        <v>354</v>
      </c>
      <c r="D3" s="5" t="s">
        <v>355</v>
      </c>
    </row>
    <row r="4" spans="1:4" x14ac:dyDescent="0.25">
      <c r="A4" s="7" t="s">
        <v>51</v>
      </c>
      <c r="B4" s="9">
        <v>470000</v>
      </c>
      <c r="C4" s="9">
        <v>480000</v>
      </c>
      <c r="D4" s="9">
        <v>490000</v>
      </c>
    </row>
    <row r="5" spans="1:4" x14ac:dyDescent="0.25">
      <c r="A5" s="7" t="s">
        <v>54</v>
      </c>
      <c r="B5" s="9">
        <v>103000</v>
      </c>
      <c r="C5" s="9">
        <v>106000</v>
      </c>
      <c r="D5" s="9">
        <v>108000</v>
      </c>
    </row>
    <row r="6" spans="1:4" x14ac:dyDescent="0.25">
      <c r="A6" s="13" t="s">
        <v>356</v>
      </c>
      <c r="B6" s="14">
        <f>B4+B5</f>
        <v>573000</v>
      </c>
      <c r="C6" s="14">
        <f>C4+C5</f>
        <v>586000</v>
      </c>
      <c r="D6" s="14">
        <f>D4+D5</f>
        <v>598000</v>
      </c>
    </row>
    <row r="7" spans="1:4" x14ac:dyDescent="0.25">
      <c r="A7" s="7" t="s">
        <v>56</v>
      </c>
      <c r="B7" s="9">
        <v>172000</v>
      </c>
      <c r="C7" s="9">
        <v>176000</v>
      </c>
      <c r="D7" s="9">
        <v>179000</v>
      </c>
    </row>
    <row r="8" spans="1:4" x14ac:dyDescent="0.25">
      <c r="A8" s="7" t="s">
        <v>59</v>
      </c>
      <c r="B8" s="9">
        <v>149000</v>
      </c>
      <c r="C8" s="9">
        <v>152000</v>
      </c>
      <c r="D8" s="9">
        <v>155000</v>
      </c>
    </row>
    <row r="9" spans="1:4" x14ac:dyDescent="0.25">
      <c r="A9" s="13" t="s">
        <v>357</v>
      </c>
      <c r="B9" s="14">
        <f>B6-B7-B8</f>
        <v>252000</v>
      </c>
      <c r="C9" s="14">
        <f>C6-C7-C8</f>
        <v>258000</v>
      </c>
      <c r="D9" s="14">
        <f>D6-D7-D8</f>
        <v>264000</v>
      </c>
    </row>
    <row r="10" spans="1:4" x14ac:dyDescent="0.25">
      <c r="A10" s="7" t="s">
        <v>61</v>
      </c>
      <c r="B10" s="9">
        <v>45000</v>
      </c>
      <c r="C10" s="9">
        <v>45000</v>
      </c>
      <c r="D10" s="9">
        <v>45000</v>
      </c>
    </row>
    <row r="11" spans="1:4" x14ac:dyDescent="0.25">
      <c r="A11" s="7" t="s">
        <v>63</v>
      </c>
      <c r="B11" s="9">
        <v>12000</v>
      </c>
      <c r="C11" s="9">
        <v>12000</v>
      </c>
      <c r="D11" s="9">
        <v>12200</v>
      </c>
    </row>
    <row r="12" spans="1:4" x14ac:dyDescent="0.25">
      <c r="A12" s="7" t="s">
        <v>65</v>
      </c>
      <c r="B12" s="9">
        <v>17000</v>
      </c>
      <c r="C12" s="9">
        <v>17500</v>
      </c>
      <c r="D12" s="9">
        <v>17800</v>
      </c>
    </row>
    <row r="13" spans="1:4" x14ac:dyDescent="0.25">
      <c r="A13" s="7" t="s">
        <v>67</v>
      </c>
      <c r="B13" s="9">
        <v>14300</v>
      </c>
      <c r="C13" s="9">
        <v>14600</v>
      </c>
      <c r="D13" s="9">
        <v>14900</v>
      </c>
    </row>
    <row r="14" spans="1:4" x14ac:dyDescent="0.25">
      <c r="A14" s="7" t="s">
        <v>69</v>
      </c>
      <c r="B14" s="9">
        <v>17200</v>
      </c>
      <c r="C14" s="9">
        <v>17600</v>
      </c>
      <c r="D14" s="9">
        <v>17900</v>
      </c>
    </row>
    <row r="15" spans="1:4" x14ac:dyDescent="0.25">
      <c r="A15" s="7" t="s">
        <v>71</v>
      </c>
      <c r="B15" s="9">
        <v>22900</v>
      </c>
      <c r="C15" s="9">
        <v>23400</v>
      </c>
      <c r="D15" s="9">
        <v>23900</v>
      </c>
    </row>
    <row r="16" spans="1:4" x14ac:dyDescent="0.25">
      <c r="A16" s="13" t="s">
        <v>358</v>
      </c>
      <c r="B16" s="14">
        <f>B10+B11+B12+B13+B14+B15</f>
        <v>128400</v>
      </c>
      <c r="C16" s="14">
        <f>C10+C11+C12+C13+C14+C15</f>
        <v>130100</v>
      </c>
      <c r="D16" s="14">
        <f>D10+D11+D12+D13+D14+D15</f>
        <v>131700</v>
      </c>
    </row>
    <row r="17" spans="1:4" x14ac:dyDescent="0.25">
      <c r="A17" s="13" t="s">
        <v>359</v>
      </c>
      <c r="B17" s="14">
        <f>B9-B16</f>
        <v>123600</v>
      </c>
      <c r="C17" s="14">
        <f>C9-C16</f>
        <v>127900</v>
      </c>
      <c r="D17" s="14">
        <f>D9-D16</f>
        <v>132300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9"/>
  <sheetViews>
    <sheetView topLeftCell="A3" zoomScaleNormal="100" workbookViewId="0">
      <selection activeCell="E41" sqref="E41"/>
    </sheetView>
  </sheetViews>
  <sheetFormatPr defaultColWidth="8.7109375" defaultRowHeight="15" x14ac:dyDescent="0.25"/>
  <cols>
    <col min="1" max="1" width="24" customWidth="1"/>
    <col min="2" max="2" width="16" customWidth="1"/>
    <col min="3" max="5" width="14" customWidth="1"/>
    <col min="6" max="6" width="13" customWidth="1"/>
    <col min="7" max="7" width="20" customWidth="1"/>
  </cols>
  <sheetData>
    <row r="1" spans="1:7" ht="18" x14ac:dyDescent="0.25">
      <c r="A1" s="1" t="s">
        <v>362</v>
      </c>
    </row>
    <row r="3" spans="1:7" ht="25.5" x14ac:dyDescent="0.25">
      <c r="A3" s="5" t="s">
        <v>352</v>
      </c>
      <c r="B3" s="5" t="s">
        <v>363</v>
      </c>
      <c r="C3" s="5" t="s">
        <v>364</v>
      </c>
      <c r="D3" s="5" t="s">
        <v>365</v>
      </c>
      <c r="E3" s="5" t="s">
        <v>366</v>
      </c>
      <c r="F3" s="5" t="s">
        <v>367</v>
      </c>
      <c r="G3" s="5" t="s">
        <v>368</v>
      </c>
    </row>
    <row r="4" spans="1:7" x14ac:dyDescent="0.25">
      <c r="A4" s="7" t="s">
        <v>51</v>
      </c>
      <c r="B4" s="7" t="s">
        <v>353</v>
      </c>
      <c r="C4" s="16">
        <f>Income_Statement!B4</f>
        <v>470000</v>
      </c>
      <c r="D4" s="16">
        <f>Budget!B4</f>
        <v>470000</v>
      </c>
      <c r="E4" s="11">
        <f t="shared" ref="E4:E39" si="0">C4-D4</f>
        <v>0</v>
      </c>
      <c r="F4" s="17">
        <f t="shared" ref="F4:F39" si="1">IFERROR(E4/D4,0)</f>
        <v>0</v>
      </c>
      <c r="G4" s="7" t="str">
        <f t="shared" ref="G4:G12" si="2">IF(E4&gt;0,"Favorable",IF(E4&lt;0,"Unfavorable","On Budget"))</f>
        <v>On Budget</v>
      </c>
    </row>
    <row r="5" spans="1:7" x14ac:dyDescent="0.25">
      <c r="A5" s="7" t="s">
        <v>51</v>
      </c>
      <c r="B5" s="7" t="s">
        <v>354</v>
      </c>
      <c r="C5" s="16">
        <f>Income_Statement!C4</f>
        <v>479400</v>
      </c>
      <c r="D5" s="16">
        <f>Budget!C4</f>
        <v>480000</v>
      </c>
      <c r="E5" s="11">
        <f t="shared" si="0"/>
        <v>-600</v>
      </c>
      <c r="F5" s="17">
        <f t="shared" si="1"/>
        <v>-1.25E-3</v>
      </c>
      <c r="G5" s="7" t="str">
        <f t="shared" si="2"/>
        <v>Unfavorable</v>
      </c>
    </row>
    <row r="6" spans="1:7" x14ac:dyDescent="0.25">
      <c r="A6" s="7" t="s">
        <v>51</v>
      </c>
      <c r="B6" s="7" t="s">
        <v>355</v>
      </c>
      <c r="C6" s="16">
        <f>Income_Statement!D4</f>
        <v>488800</v>
      </c>
      <c r="D6" s="16">
        <f>Budget!D4</f>
        <v>490000</v>
      </c>
      <c r="E6" s="11">
        <f t="shared" si="0"/>
        <v>-1200</v>
      </c>
      <c r="F6" s="17">
        <f t="shared" si="1"/>
        <v>-2.4489795918367346E-3</v>
      </c>
      <c r="G6" s="7" t="str">
        <f t="shared" si="2"/>
        <v>Unfavorable</v>
      </c>
    </row>
    <row r="7" spans="1:7" x14ac:dyDescent="0.25">
      <c r="A7" s="7" t="s">
        <v>54</v>
      </c>
      <c r="B7" s="7" t="s">
        <v>353</v>
      </c>
      <c r="C7" s="16">
        <f>Income_Statement!B5</f>
        <v>103400</v>
      </c>
      <c r="D7" s="16">
        <f>Budget!B5</f>
        <v>103000</v>
      </c>
      <c r="E7" s="11">
        <f t="shared" si="0"/>
        <v>400</v>
      </c>
      <c r="F7" s="17">
        <f t="shared" si="1"/>
        <v>3.8834951456310678E-3</v>
      </c>
      <c r="G7" s="7" t="str">
        <f t="shared" si="2"/>
        <v>Favorable</v>
      </c>
    </row>
    <row r="8" spans="1:7" x14ac:dyDescent="0.25">
      <c r="A8" s="7" t="s">
        <v>54</v>
      </c>
      <c r="B8" s="7" t="s">
        <v>354</v>
      </c>
      <c r="C8" s="16">
        <f>Income_Statement!C5</f>
        <v>105468</v>
      </c>
      <c r="D8" s="16">
        <f>Budget!C5</f>
        <v>106000</v>
      </c>
      <c r="E8" s="11">
        <f t="shared" si="0"/>
        <v>-532</v>
      </c>
      <c r="F8" s="17">
        <f t="shared" si="1"/>
        <v>-5.0188679245283018E-3</v>
      </c>
      <c r="G8" s="7" t="str">
        <f t="shared" si="2"/>
        <v>Unfavorable</v>
      </c>
    </row>
    <row r="9" spans="1:7" x14ac:dyDescent="0.25">
      <c r="A9" s="7" t="s">
        <v>54</v>
      </c>
      <c r="B9" s="7" t="s">
        <v>355</v>
      </c>
      <c r="C9" s="16">
        <f>Income_Statement!D5</f>
        <v>107536</v>
      </c>
      <c r="D9" s="16">
        <f>Budget!D5</f>
        <v>108000</v>
      </c>
      <c r="E9" s="11">
        <f t="shared" si="0"/>
        <v>-464</v>
      </c>
      <c r="F9" s="17">
        <f t="shared" si="1"/>
        <v>-4.2962962962962963E-3</v>
      </c>
      <c r="G9" s="7" t="str">
        <f t="shared" si="2"/>
        <v>Unfavorable</v>
      </c>
    </row>
    <row r="10" spans="1:7" x14ac:dyDescent="0.25">
      <c r="A10" s="7" t="s">
        <v>356</v>
      </c>
      <c r="B10" s="7" t="s">
        <v>353</v>
      </c>
      <c r="C10" s="16">
        <f>Income_Statement!B6</f>
        <v>573400</v>
      </c>
      <c r="D10" s="16">
        <f>Budget!B6</f>
        <v>573000</v>
      </c>
      <c r="E10" s="11">
        <f t="shared" si="0"/>
        <v>400</v>
      </c>
      <c r="F10" s="17">
        <f t="shared" si="1"/>
        <v>6.9808027923211173E-4</v>
      </c>
      <c r="G10" s="7" t="str">
        <f t="shared" si="2"/>
        <v>Favorable</v>
      </c>
    </row>
    <row r="11" spans="1:7" x14ac:dyDescent="0.25">
      <c r="A11" s="7" t="s">
        <v>356</v>
      </c>
      <c r="B11" s="7" t="s">
        <v>354</v>
      </c>
      <c r="C11" s="16">
        <f>Income_Statement!C6</f>
        <v>584868</v>
      </c>
      <c r="D11" s="16">
        <f>Budget!C6</f>
        <v>586000</v>
      </c>
      <c r="E11" s="11">
        <f t="shared" si="0"/>
        <v>-1132</v>
      </c>
      <c r="F11" s="17">
        <f t="shared" si="1"/>
        <v>-1.931740614334471E-3</v>
      </c>
      <c r="G11" s="7" t="str">
        <f t="shared" si="2"/>
        <v>Unfavorable</v>
      </c>
    </row>
    <row r="12" spans="1:7" x14ac:dyDescent="0.25">
      <c r="A12" s="7" t="s">
        <v>356</v>
      </c>
      <c r="B12" s="7" t="s">
        <v>355</v>
      </c>
      <c r="C12" s="16">
        <f>Income_Statement!D6</f>
        <v>596336</v>
      </c>
      <c r="D12" s="16">
        <f>Budget!D6</f>
        <v>598000</v>
      </c>
      <c r="E12" s="11">
        <f t="shared" si="0"/>
        <v>-1664</v>
      </c>
      <c r="F12" s="17">
        <f t="shared" si="1"/>
        <v>-2.7826086956521741E-3</v>
      </c>
      <c r="G12" s="7" t="str">
        <f t="shared" si="2"/>
        <v>Unfavorable</v>
      </c>
    </row>
    <row r="13" spans="1:7" x14ac:dyDescent="0.25">
      <c r="A13" s="7" t="s">
        <v>56</v>
      </c>
      <c r="B13" s="7" t="s">
        <v>353</v>
      </c>
      <c r="C13" s="16">
        <f>Income_Statement!B7</f>
        <v>172020</v>
      </c>
      <c r="D13" s="16">
        <f>Budget!B7</f>
        <v>172000</v>
      </c>
      <c r="E13" s="11">
        <f t="shared" si="0"/>
        <v>20</v>
      </c>
      <c r="F13" s="17">
        <f t="shared" si="1"/>
        <v>1.1627906976744187E-4</v>
      </c>
      <c r="G13" s="7" t="str">
        <f t="shared" ref="G13:G36" si="3">IF(E13&gt;0,"Unfavorable",IF(E13&lt;0,"Favorable","On Budget"))</f>
        <v>Unfavorable</v>
      </c>
    </row>
    <row r="14" spans="1:7" x14ac:dyDescent="0.25">
      <c r="A14" s="7" t="s">
        <v>56</v>
      </c>
      <c r="B14" s="7" t="s">
        <v>354</v>
      </c>
      <c r="C14" s="16">
        <f>Income_Statement!C7</f>
        <v>175460.40000000002</v>
      </c>
      <c r="D14" s="16">
        <f>Budget!C7</f>
        <v>176000</v>
      </c>
      <c r="E14" s="11">
        <f t="shared" si="0"/>
        <v>-539.59999999997672</v>
      </c>
      <c r="F14" s="17">
        <f t="shared" si="1"/>
        <v>-3.0659090909089587E-3</v>
      </c>
      <c r="G14" s="7" t="str">
        <f t="shared" si="3"/>
        <v>Favorable</v>
      </c>
    </row>
    <row r="15" spans="1:7" x14ac:dyDescent="0.25">
      <c r="A15" s="7" t="s">
        <v>56</v>
      </c>
      <c r="B15" s="7" t="s">
        <v>355</v>
      </c>
      <c r="C15" s="16">
        <f>Income_Statement!D7</f>
        <v>191842.56</v>
      </c>
      <c r="D15" s="16">
        <f>Budget!D7</f>
        <v>179000</v>
      </c>
      <c r="E15" s="11">
        <f t="shared" si="0"/>
        <v>12842.559999999998</v>
      </c>
      <c r="F15" s="17">
        <f t="shared" si="1"/>
        <v>7.1746145251396637E-2</v>
      </c>
      <c r="G15" s="7" t="str">
        <f t="shared" si="3"/>
        <v>Unfavorable</v>
      </c>
    </row>
    <row r="16" spans="1:7" x14ac:dyDescent="0.25">
      <c r="A16" s="7" t="s">
        <v>59</v>
      </c>
      <c r="B16" s="7" t="s">
        <v>353</v>
      </c>
      <c r="C16" s="16">
        <f>Income_Statement!B8</f>
        <v>149084</v>
      </c>
      <c r="D16" s="16">
        <f>Budget!B8</f>
        <v>149000</v>
      </c>
      <c r="E16" s="11">
        <f t="shared" si="0"/>
        <v>84</v>
      </c>
      <c r="F16" s="17">
        <f t="shared" si="1"/>
        <v>5.6375838926174494E-4</v>
      </c>
      <c r="G16" s="7" t="str">
        <f t="shared" si="3"/>
        <v>Unfavorable</v>
      </c>
    </row>
    <row r="17" spans="1:7" x14ac:dyDescent="0.25">
      <c r="A17" s="7" t="s">
        <v>59</v>
      </c>
      <c r="B17" s="7" t="s">
        <v>354</v>
      </c>
      <c r="C17" s="16">
        <f>Income_Statement!C8</f>
        <v>152065.68</v>
      </c>
      <c r="D17" s="16">
        <f>Budget!C8</f>
        <v>152000</v>
      </c>
      <c r="E17" s="11">
        <f t="shared" si="0"/>
        <v>65.679999999993015</v>
      </c>
      <c r="F17" s="17">
        <f t="shared" si="1"/>
        <v>4.3210526315784877E-4</v>
      </c>
      <c r="G17" s="7" t="str">
        <f t="shared" si="3"/>
        <v>Unfavorable</v>
      </c>
    </row>
    <row r="18" spans="1:7" x14ac:dyDescent="0.25">
      <c r="A18" s="7" t="s">
        <v>59</v>
      </c>
      <c r="B18" s="7" t="s">
        <v>355</v>
      </c>
      <c r="C18" s="16">
        <f>Income_Statement!D8</f>
        <v>155047.36000000002</v>
      </c>
      <c r="D18" s="16">
        <f>Budget!D8</f>
        <v>155000</v>
      </c>
      <c r="E18" s="11">
        <f t="shared" si="0"/>
        <v>47.360000000015134</v>
      </c>
      <c r="F18" s="17">
        <f t="shared" si="1"/>
        <v>3.0554838709687181E-4</v>
      </c>
      <c r="G18" s="7" t="str">
        <f t="shared" si="3"/>
        <v>Unfavorable</v>
      </c>
    </row>
    <row r="19" spans="1:7" x14ac:dyDescent="0.25">
      <c r="A19" s="7" t="s">
        <v>61</v>
      </c>
      <c r="B19" s="7" t="s">
        <v>353</v>
      </c>
      <c r="C19" s="16">
        <f>Income_Statement!B10</f>
        <v>45000</v>
      </c>
      <c r="D19" s="16">
        <f>Budget!B10</f>
        <v>45000</v>
      </c>
      <c r="E19" s="11">
        <f t="shared" si="0"/>
        <v>0</v>
      </c>
      <c r="F19" s="17">
        <f t="shared" si="1"/>
        <v>0</v>
      </c>
      <c r="G19" s="7" t="str">
        <f t="shared" si="3"/>
        <v>On Budget</v>
      </c>
    </row>
    <row r="20" spans="1:7" x14ac:dyDescent="0.25">
      <c r="A20" s="7" t="s">
        <v>61</v>
      </c>
      <c r="B20" s="7" t="s">
        <v>354</v>
      </c>
      <c r="C20" s="16">
        <f>Income_Statement!C10</f>
        <v>45000</v>
      </c>
      <c r="D20" s="16">
        <f>Budget!C10</f>
        <v>45000</v>
      </c>
      <c r="E20" s="11">
        <f t="shared" si="0"/>
        <v>0</v>
      </c>
      <c r="F20" s="17">
        <f t="shared" si="1"/>
        <v>0</v>
      </c>
      <c r="G20" s="7" t="str">
        <f t="shared" si="3"/>
        <v>On Budget</v>
      </c>
    </row>
    <row r="21" spans="1:7" x14ac:dyDescent="0.25">
      <c r="A21" s="7" t="s">
        <v>61</v>
      </c>
      <c r="B21" s="7" t="s">
        <v>355</v>
      </c>
      <c r="C21" s="16">
        <f>Income_Statement!D10</f>
        <v>45000</v>
      </c>
      <c r="D21" s="16">
        <f>Budget!D10</f>
        <v>45000</v>
      </c>
      <c r="E21" s="11">
        <f t="shared" si="0"/>
        <v>0</v>
      </c>
      <c r="F21" s="17">
        <f t="shared" si="1"/>
        <v>0</v>
      </c>
      <c r="G21" s="7" t="str">
        <f t="shared" si="3"/>
        <v>On Budget</v>
      </c>
    </row>
    <row r="22" spans="1:7" x14ac:dyDescent="0.25">
      <c r="A22" s="7" t="s">
        <v>63</v>
      </c>
      <c r="B22" s="7" t="s">
        <v>353</v>
      </c>
      <c r="C22" s="16">
        <f>Income_Statement!B11</f>
        <v>12200</v>
      </c>
      <c r="D22" s="16">
        <f>Budget!B11</f>
        <v>12000</v>
      </c>
      <c r="E22" s="11">
        <f t="shared" si="0"/>
        <v>200</v>
      </c>
      <c r="F22" s="17">
        <f t="shared" si="1"/>
        <v>1.6666666666666666E-2</v>
      </c>
      <c r="G22" s="7" t="str">
        <f t="shared" si="3"/>
        <v>Unfavorable</v>
      </c>
    </row>
    <row r="23" spans="1:7" x14ac:dyDescent="0.25">
      <c r="A23" s="7" t="s">
        <v>63</v>
      </c>
      <c r="B23" s="7" t="s">
        <v>354</v>
      </c>
      <c r="C23" s="16">
        <f>Income_Statement!C11</f>
        <v>12566</v>
      </c>
      <c r="D23" s="16">
        <f>Budget!C11</f>
        <v>12000</v>
      </c>
      <c r="E23" s="11">
        <f t="shared" si="0"/>
        <v>566</v>
      </c>
      <c r="F23" s="17">
        <f t="shared" si="1"/>
        <v>4.7166666666666669E-2</v>
      </c>
      <c r="G23" s="7" t="str">
        <f t="shared" si="3"/>
        <v>Unfavorable</v>
      </c>
    </row>
    <row r="24" spans="1:7" x14ac:dyDescent="0.25">
      <c r="A24" s="7" t="s">
        <v>63</v>
      </c>
      <c r="B24" s="7" t="s">
        <v>355</v>
      </c>
      <c r="C24" s="16">
        <f>Income_Statement!D11</f>
        <v>12932</v>
      </c>
      <c r="D24" s="16">
        <f>Budget!D11</f>
        <v>12200</v>
      </c>
      <c r="E24" s="11">
        <f t="shared" si="0"/>
        <v>732</v>
      </c>
      <c r="F24" s="17">
        <f t="shared" si="1"/>
        <v>0.06</v>
      </c>
      <c r="G24" s="7" t="str">
        <f t="shared" si="3"/>
        <v>Unfavorable</v>
      </c>
    </row>
    <row r="25" spans="1:7" x14ac:dyDescent="0.25">
      <c r="A25" s="7" t="s">
        <v>65</v>
      </c>
      <c r="B25" s="7" t="s">
        <v>353</v>
      </c>
      <c r="C25" s="16">
        <f>Income_Statement!B12</f>
        <v>15510</v>
      </c>
      <c r="D25" s="16">
        <f>Budget!B12</f>
        <v>17000</v>
      </c>
      <c r="E25" s="11">
        <f t="shared" si="0"/>
        <v>-1490</v>
      </c>
      <c r="F25" s="17">
        <f t="shared" si="1"/>
        <v>-8.7647058823529411E-2</v>
      </c>
      <c r="G25" s="7" t="str">
        <f t="shared" si="3"/>
        <v>Favorable</v>
      </c>
    </row>
    <row r="26" spans="1:7" x14ac:dyDescent="0.25">
      <c r="A26" s="7" t="s">
        <v>65</v>
      </c>
      <c r="B26" s="7" t="s">
        <v>354</v>
      </c>
      <c r="C26" s="16">
        <f>Income_Statement!C12</f>
        <v>15820.2</v>
      </c>
      <c r="D26" s="16">
        <f>Budget!C12</f>
        <v>17500</v>
      </c>
      <c r="E26" s="11">
        <f t="shared" si="0"/>
        <v>-1679.7999999999993</v>
      </c>
      <c r="F26" s="17">
        <f t="shared" si="1"/>
        <v>-9.5988571428571381E-2</v>
      </c>
      <c r="G26" s="7" t="str">
        <f t="shared" si="3"/>
        <v>Favorable</v>
      </c>
    </row>
    <row r="27" spans="1:7" x14ac:dyDescent="0.25">
      <c r="A27" s="7" t="s">
        <v>65</v>
      </c>
      <c r="B27" s="7" t="s">
        <v>355</v>
      </c>
      <c r="C27" s="16">
        <f>Income_Statement!D12</f>
        <v>16130.400000000001</v>
      </c>
      <c r="D27" s="16">
        <f>Budget!D12</f>
        <v>17800</v>
      </c>
      <c r="E27" s="11">
        <f t="shared" si="0"/>
        <v>-1669.5999999999985</v>
      </c>
      <c r="F27" s="17">
        <f t="shared" si="1"/>
        <v>-9.379775280898868E-2</v>
      </c>
      <c r="G27" s="7" t="str">
        <f t="shared" si="3"/>
        <v>Favorable</v>
      </c>
    </row>
    <row r="28" spans="1:7" x14ac:dyDescent="0.25">
      <c r="A28" s="7" t="s">
        <v>67</v>
      </c>
      <c r="B28" s="7" t="s">
        <v>353</v>
      </c>
      <c r="C28" s="16">
        <f>Income_Statement!B13</f>
        <v>14335</v>
      </c>
      <c r="D28" s="16">
        <f>Budget!B13</f>
        <v>14300</v>
      </c>
      <c r="E28" s="11">
        <f t="shared" si="0"/>
        <v>35</v>
      </c>
      <c r="F28" s="17">
        <f t="shared" si="1"/>
        <v>2.4475524475524478E-3</v>
      </c>
      <c r="G28" s="7" t="str">
        <f t="shared" si="3"/>
        <v>Unfavorable</v>
      </c>
    </row>
    <row r="29" spans="1:7" x14ac:dyDescent="0.25">
      <c r="A29" s="7" t="s">
        <v>67</v>
      </c>
      <c r="B29" s="7" t="s">
        <v>354</v>
      </c>
      <c r="C29" s="16">
        <f>Income_Statement!C13</f>
        <v>14621.7</v>
      </c>
      <c r="D29" s="16">
        <f>Budget!C13</f>
        <v>14600</v>
      </c>
      <c r="E29" s="11">
        <f t="shared" si="0"/>
        <v>21.700000000000728</v>
      </c>
      <c r="F29" s="17">
        <f t="shared" si="1"/>
        <v>1.4863013698630636E-3</v>
      </c>
      <c r="G29" s="7" t="str">
        <f t="shared" si="3"/>
        <v>Unfavorable</v>
      </c>
    </row>
    <row r="30" spans="1:7" x14ac:dyDescent="0.25">
      <c r="A30" s="7" t="s">
        <v>67</v>
      </c>
      <c r="B30" s="7" t="s">
        <v>355</v>
      </c>
      <c r="C30" s="16">
        <f>Income_Statement!D13</f>
        <v>14908.400000000001</v>
      </c>
      <c r="D30" s="16">
        <f>Budget!D13</f>
        <v>14900</v>
      </c>
      <c r="E30" s="11">
        <f t="shared" si="0"/>
        <v>8.4000000000014552</v>
      </c>
      <c r="F30" s="17">
        <f t="shared" si="1"/>
        <v>5.6375838926184263E-4</v>
      </c>
      <c r="G30" s="7" t="str">
        <f t="shared" si="3"/>
        <v>Unfavorable</v>
      </c>
    </row>
    <row r="31" spans="1:7" x14ac:dyDescent="0.25">
      <c r="A31" s="7" t="s">
        <v>69</v>
      </c>
      <c r="B31" s="7" t="s">
        <v>353</v>
      </c>
      <c r="C31" s="16">
        <f>Income_Statement!B14</f>
        <v>17202</v>
      </c>
      <c r="D31" s="16">
        <f>Budget!B14</f>
        <v>17200</v>
      </c>
      <c r="E31" s="11">
        <f t="shared" si="0"/>
        <v>2</v>
      </c>
      <c r="F31" s="17">
        <f t="shared" si="1"/>
        <v>1.1627906976744187E-4</v>
      </c>
      <c r="G31" s="7" t="str">
        <f t="shared" si="3"/>
        <v>Unfavorable</v>
      </c>
    </row>
    <row r="32" spans="1:7" x14ac:dyDescent="0.25">
      <c r="A32" s="7" t="s">
        <v>69</v>
      </c>
      <c r="B32" s="7" t="s">
        <v>354</v>
      </c>
      <c r="C32" s="16">
        <f>Income_Statement!C14</f>
        <v>17546.04</v>
      </c>
      <c r="D32" s="16">
        <f>Budget!C14</f>
        <v>17600</v>
      </c>
      <c r="E32" s="11">
        <f t="shared" si="0"/>
        <v>-53.959999999999127</v>
      </c>
      <c r="F32" s="17">
        <f t="shared" si="1"/>
        <v>-3.0659090909090415E-3</v>
      </c>
      <c r="G32" s="7" t="str">
        <f t="shared" si="3"/>
        <v>Favorable</v>
      </c>
    </row>
    <row r="33" spans="1:7" x14ac:dyDescent="0.25">
      <c r="A33" s="7" t="s">
        <v>69</v>
      </c>
      <c r="B33" s="7" t="s">
        <v>355</v>
      </c>
      <c r="C33" s="16">
        <f>Income_Statement!D14</f>
        <v>17890.079999999998</v>
      </c>
      <c r="D33" s="16">
        <f>Budget!D14</f>
        <v>17900</v>
      </c>
      <c r="E33" s="11">
        <f t="shared" si="0"/>
        <v>-9.9200000000018917</v>
      </c>
      <c r="F33" s="17">
        <f t="shared" si="1"/>
        <v>-5.5418994413418388E-4</v>
      </c>
      <c r="G33" s="7" t="str">
        <f t="shared" si="3"/>
        <v>Favorable</v>
      </c>
    </row>
    <row r="34" spans="1:7" x14ac:dyDescent="0.25">
      <c r="A34" s="7" t="s">
        <v>71</v>
      </c>
      <c r="B34" s="7" t="s">
        <v>353</v>
      </c>
      <c r="C34" s="16">
        <f>Income_Statement!B15</f>
        <v>22936</v>
      </c>
      <c r="D34" s="16">
        <f>Budget!B15</f>
        <v>22900</v>
      </c>
      <c r="E34" s="11">
        <f t="shared" si="0"/>
        <v>36</v>
      </c>
      <c r="F34" s="17">
        <f t="shared" si="1"/>
        <v>1.5720524017467249E-3</v>
      </c>
      <c r="G34" s="7" t="str">
        <f t="shared" si="3"/>
        <v>Unfavorable</v>
      </c>
    </row>
    <row r="35" spans="1:7" x14ac:dyDescent="0.25">
      <c r="A35" s="7" t="s">
        <v>71</v>
      </c>
      <c r="B35" s="7" t="s">
        <v>354</v>
      </c>
      <c r="C35" s="16">
        <f>Income_Statement!C15</f>
        <v>23394.720000000001</v>
      </c>
      <c r="D35" s="16">
        <f>Budget!C15</f>
        <v>23400</v>
      </c>
      <c r="E35" s="11">
        <f t="shared" si="0"/>
        <v>-5.2799999999988358</v>
      </c>
      <c r="F35" s="17">
        <f t="shared" si="1"/>
        <v>-2.2564102564097589E-4</v>
      </c>
      <c r="G35" s="7" t="str">
        <f t="shared" si="3"/>
        <v>Favorable</v>
      </c>
    </row>
    <row r="36" spans="1:7" x14ac:dyDescent="0.25">
      <c r="A36" s="7" t="s">
        <v>71</v>
      </c>
      <c r="B36" s="7" t="s">
        <v>355</v>
      </c>
      <c r="C36" s="16">
        <f>Income_Statement!D15</f>
        <v>23853.440000000002</v>
      </c>
      <c r="D36" s="16">
        <f>Budget!D15</f>
        <v>23900</v>
      </c>
      <c r="E36" s="11">
        <f t="shared" si="0"/>
        <v>-46.559999999997672</v>
      </c>
      <c r="F36" s="17">
        <f t="shared" si="1"/>
        <v>-1.948117154811618E-3</v>
      </c>
      <c r="G36" s="7" t="str">
        <f t="shared" si="3"/>
        <v>Favorable</v>
      </c>
    </row>
    <row r="37" spans="1:7" x14ac:dyDescent="0.25">
      <c r="A37" s="7" t="s">
        <v>359</v>
      </c>
      <c r="B37" s="7" t="s">
        <v>353</v>
      </c>
      <c r="C37" s="16">
        <f>Income_Statement!B17</f>
        <v>125113</v>
      </c>
      <c r="D37" s="16">
        <f>Budget!B17</f>
        <v>123600</v>
      </c>
      <c r="E37" s="11">
        <f t="shared" si="0"/>
        <v>1513</v>
      </c>
      <c r="F37" s="17">
        <f t="shared" si="1"/>
        <v>1.2241100323624595E-2</v>
      </c>
      <c r="G37" s="7" t="str">
        <f>IF(E37&gt;0,"Favorable",IF(E37&lt;0,"Unfavorable","On Budget"))</f>
        <v>Favorable</v>
      </c>
    </row>
    <row r="38" spans="1:7" x14ac:dyDescent="0.25">
      <c r="A38" s="7" t="s">
        <v>359</v>
      </c>
      <c r="B38" s="7" t="s">
        <v>354</v>
      </c>
      <c r="C38" s="16">
        <f>Income_Statement!C17</f>
        <v>128393.25999999998</v>
      </c>
      <c r="D38" s="16">
        <f>Budget!C17</f>
        <v>127900</v>
      </c>
      <c r="E38" s="11">
        <f t="shared" si="0"/>
        <v>493.25999999998021</v>
      </c>
      <c r="F38" s="17">
        <f t="shared" si="1"/>
        <v>3.8566067240029729E-3</v>
      </c>
      <c r="G38" s="7" t="str">
        <f>IF(E38&gt;0,"Favorable",IF(E38&lt;0,"Unfavorable","On Budget"))</f>
        <v>Favorable</v>
      </c>
    </row>
    <row r="39" spans="1:7" x14ac:dyDescent="0.25">
      <c r="A39" s="7" t="s">
        <v>359</v>
      </c>
      <c r="B39" s="7" t="s">
        <v>355</v>
      </c>
      <c r="C39" s="16">
        <f>Income_Statement!D17</f>
        <v>118731.76</v>
      </c>
      <c r="D39" s="16">
        <f>Budget!D17</f>
        <v>132300</v>
      </c>
      <c r="E39" s="11">
        <f>C39-D39</f>
        <v>-13568.240000000005</v>
      </c>
      <c r="F39" s="17">
        <f t="shared" si="1"/>
        <v>-0.10255661375661379</v>
      </c>
      <c r="G39" s="7" t="str">
        <f>IF(E39&gt;0,"Favorable",IF(E39&lt;0,"Unfavorable","On Budget"))</f>
        <v>Unfavorable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1"/>
  <sheetViews>
    <sheetView zoomScaleNormal="100" workbookViewId="0"/>
  </sheetViews>
  <sheetFormatPr defaultColWidth="8.7109375" defaultRowHeight="15" x14ac:dyDescent="0.25"/>
  <cols>
    <col min="1" max="1" width="14" customWidth="1"/>
    <col min="2" max="2" width="40" customWidth="1"/>
    <col min="3" max="4" width="16" customWidth="1"/>
    <col min="5" max="5" width="20" customWidth="1"/>
  </cols>
  <sheetData>
    <row r="1" spans="1:5" ht="18" x14ac:dyDescent="0.25">
      <c r="A1" s="1" t="s">
        <v>369</v>
      </c>
    </row>
    <row r="2" spans="1:5" x14ac:dyDescent="0.25">
      <c r="A2" s="2" t="s">
        <v>370</v>
      </c>
    </row>
    <row r="4" spans="1:5" ht="25.5" x14ac:dyDescent="0.25">
      <c r="A4" s="5" t="s">
        <v>72</v>
      </c>
      <c r="B4" s="5" t="s">
        <v>73</v>
      </c>
      <c r="C4" s="5" t="s">
        <v>371</v>
      </c>
      <c r="D4" s="5" t="s">
        <v>372</v>
      </c>
      <c r="E4" s="5" t="s">
        <v>373</v>
      </c>
    </row>
    <row r="5" spans="1:5" x14ac:dyDescent="0.25">
      <c r="A5" s="7" t="s">
        <v>74</v>
      </c>
      <c r="B5" s="7" t="str">
        <f>IFERROR(INDEX(Restaurants!$B$2:$B$6,MATCH(A5,Restaurants!$A$2:$A$6,0)),"")</f>
        <v>Trailhead Burger Co. #101 - San Antonio, TX</v>
      </c>
      <c r="C5" s="11">
        <f>SUMIFS(Transactions!$J$2:$J$411,Transactions!$D$2:$D$411,A5,Transactions!$F$2:$F$411,"4000",Transactions!$C$2:$C$411,"&gt;="&amp;DATE(2026,3,1),Transactions!$C$2:$C$411,"&lt;="&amp;EOMONTH(DATE(2026,3,1),0))+SUMIFS(Transactions!$J$2:$J$411,Transactions!$D$2:$D$411,A5,Transactions!$F$2:$F$411,"4010",Transactions!$C$2:$C$411,"&gt;="&amp;DATE(2026,3,1),Transactions!$C$2:$C$411,"&lt;="&amp;EOMONTH(DATE(2026,3,1),0))</f>
        <v>126880</v>
      </c>
      <c r="D5" s="11">
        <f>SUMIFS(Transactions!$I$2:$I$411,Transactions!$D$2:$D$411,A5,Transactions!$F$2:$F$411,"5000",Transactions!$C$2:$C$411,"&gt;="&amp;DATE(2026,3,1),Transactions!$C$2:$C$411,"&lt;="&amp;EOMONTH(DATE(2026,3,1),0))</f>
        <v>38064</v>
      </c>
      <c r="E5" s="17">
        <f>IFERROR(D5/C5,0)</f>
        <v>0.3</v>
      </c>
    </row>
    <row r="6" spans="1:5" x14ac:dyDescent="0.25">
      <c r="A6" s="7" t="s">
        <v>76</v>
      </c>
      <c r="B6" s="7" t="str">
        <f>IFERROR(INDEX(Restaurants!$B$2:$B$6,MATCH(A6,Restaurants!$A$2:$A$6,0)),"")</f>
        <v>Trailhead Burger Co. #102 - Austin, TX</v>
      </c>
      <c r="C6" s="11">
        <f>SUMIFS(Transactions!$J$2:$J$411,Transactions!$D$2:$D$411,A6,Transactions!$F$2:$F$411,"4000",Transactions!$C$2:$C$411,"&gt;="&amp;DATE(2026,3,1),Transactions!$C$2:$C$411,"&lt;="&amp;EOMONTH(DATE(2026,3,1),0))+SUMIFS(Transactions!$J$2:$J$411,Transactions!$D$2:$D$411,A6,Transactions!$F$2:$F$411,"4010",Transactions!$C$2:$C$411,"&gt;="&amp;DATE(2026,3,1),Transactions!$C$2:$C$411,"&lt;="&amp;EOMONTH(DATE(2026,3,1),0))</f>
        <v>120536</v>
      </c>
      <c r="D6" s="11">
        <f>SUMIFS(Transactions!$I$2:$I$411,Transactions!$D$2:$D$411,A6,Transactions!$F$2:$F$411,"5000",Transactions!$C$2:$C$411,"&gt;="&amp;DATE(2026,3,1),Transactions!$C$2:$C$411,"&lt;="&amp;EOMONTH(DATE(2026,3,1),0))</f>
        <v>36160.800000000003</v>
      </c>
      <c r="E6" s="17">
        <f>IFERROR(D6/C6,0)</f>
        <v>0.30000000000000004</v>
      </c>
    </row>
    <row r="7" spans="1:5" x14ac:dyDescent="0.25">
      <c r="A7" s="7" t="s">
        <v>78</v>
      </c>
      <c r="B7" s="7" t="str">
        <f>IFERROR(INDEX(Restaurants!$B$2:$B$6,MATCH(A7,Restaurants!$A$2:$A$6,0)),"")</f>
        <v>Trailhead Burger Co. #103 - Corpus Christi, TX</v>
      </c>
      <c r="C7" s="11">
        <f>SUMIFS(Transactions!$J$2:$J$411,Transactions!$D$2:$D$411,A7,Transactions!$F$2:$F$411,"4000",Transactions!$C$2:$C$411,"&gt;="&amp;DATE(2026,3,1),Transactions!$C$2:$C$411,"&lt;="&amp;EOMONTH(DATE(2026,3,1),0))+SUMIFS(Transactions!$J$2:$J$411,Transactions!$D$2:$D$411,A7,Transactions!$F$2:$F$411,"4010",Transactions!$C$2:$C$411,"&gt;="&amp;DATE(2026,3,1),Transactions!$C$2:$C$411,"&lt;="&amp;EOMONTH(DATE(2026,3,1),0))</f>
        <v>101504</v>
      </c>
      <c r="D7" s="11">
        <f>SUMIFS(Transactions!$I$2:$I$411,Transactions!$D$2:$D$411,A7,Transactions!$F$2:$F$411,"5000",Transactions!$C$2:$C$411,"&gt;="&amp;DATE(2026,3,1),Transactions!$C$2:$C$411,"&lt;="&amp;EOMONTH(DATE(2026,3,1),0))</f>
        <v>30451.200000000001</v>
      </c>
      <c r="E7" s="17">
        <f>IFERROR(D7/C7,0)</f>
        <v>0.3</v>
      </c>
    </row>
    <row r="8" spans="1:5" x14ac:dyDescent="0.25">
      <c r="A8" s="18" t="s">
        <v>80</v>
      </c>
      <c r="B8" s="18" t="str">
        <f>IFERROR(INDEX(Restaurants!$B$2:$B$6,MATCH(A8,Restaurants!$A$2:$A$6,0)),"")</f>
        <v>Trailhead Burger Co. #104 - Laredo, TX</v>
      </c>
      <c r="C8" s="19">
        <f>SUMIFS(Transactions!$J$2:$J$411,Transactions!$D$2:$D$411,A8,Transactions!$F$2:$F$411,"4000",Transactions!$C$2:$C$411,"&gt;="&amp;DATE(2026,3,1),Transactions!$C$2:$C$411,"&lt;="&amp;EOMONTH(DATE(2026,3,1),0))+SUMIFS(Transactions!$J$2:$J$411,Transactions!$D$2:$D$411,A8,Transactions!$F$2:$F$411,"4010",Transactions!$C$2:$C$411,"&gt;="&amp;DATE(2026,3,1),Transactions!$C$2:$C$411,"&lt;="&amp;EOMONTH(DATE(2026,3,1),0))</f>
        <v>107848</v>
      </c>
      <c r="D8" s="19">
        <f>SUMIFS(Transactions!$I$2:$I$411,Transactions!$D$2:$D$411,A8,Transactions!$F$2:$F$411,"5000",Transactions!$C$2:$C$411,"&gt;="&amp;DATE(2026,3,1),Transactions!$C$2:$C$411,"&lt;="&amp;EOMONTH(DATE(2026,3,1),0))</f>
        <v>45296.160000000003</v>
      </c>
      <c r="E8" s="20">
        <f>IFERROR(D8/C8,0)</f>
        <v>0.42000000000000004</v>
      </c>
    </row>
    <row r="9" spans="1:5" x14ac:dyDescent="0.25">
      <c r="A9" s="7" t="s">
        <v>82</v>
      </c>
      <c r="B9" s="7" t="str">
        <f>IFERROR(INDEX(Restaurants!$B$2:$B$6,MATCH(A9,Restaurants!$A$2:$A$6,0)),"")</f>
        <v>Trailhead Burger Co. #105 - Houston, TX</v>
      </c>
      <c r="C9" s="11">
        <f>SUMIFS(Transactions!$J$2:$J$411,Transactions!$D$2:$D$411,A9,Transactions!$F$2:$F$411,"4000",Transactions!$C$2:$C$411,"&gt;="&amp;DATE(2026,3,1),Transactions!$C$2:$C$411,"&lt;="&amp;EOMONTH(DATE(2026,3,1),0))+SUMIFS(Transactions!$J$2:$J$411,Transactions!$D$2:$D$411,A9,Transactions!$F$2:$F$411,"4010",Transactions!$C$2:$C$411,"&gt;="&amp;DATE(2026,3,1),Transactions!$C$2:$C$411,"&lt;="&amp;EOMONTH(DATE(2026,3,1),0))</f>
        <v>139568</v>
      </c>
      <c r="D9" s="11">
        <f>SUMIFS(Transactions!$I$2:$I$411,Transactions!$D$2:$D$411,A9,Transactions!$F$2:$F$411,"5000",Transactions!$C$2:$C$411,"&gt;="&amp;DATE(2026,3,1),Transactions!$C$2:$C$411,"&lt;="&amp;EOMONTH(DATE(2026,3,1),0))</f>
        <v>41870.400000000001</v>
      </c>
      <c r="E9" s="17">
        <f>IFERROR(D9/C9,0)</f>
        <v>0.3</v>
      </c>
    </row>
    <row r="11" spans="1:5" x14ac:dyDescent="0.25">
      <c r="B11" s="4" t="s">
        <v>374</v>
      </c>
      <c r="E11" s="21">
        <f>AVERAGE(E5:E9)</f>
        <v>0.32400000000000007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ReadMe</vt:lpstr>
      <vt:lpstr>Chart_of_Accounts</vt:lpstr>
      <vt:lpstr>Restaurants</vt:lpstr>
      <vt:lpstr>Vendors</vt:lpstr>
      <vt:lpstr>Pivot Revenue</vt:lpstr>
      <vt:lpstr>Pivot Food Cost</vt:lpstr>
      <vt:lpstr>Pivot Food Cost Pct</vt:lpstr>
      <vt:lpstr>Transactions</vt:lpstr>
      <vt:lpstr>General_Ledger</vt:lpstr>
      <vt:lpstr>Trial_Balance</vt:lpstr>
      <vt:lpstr>Income_Statement</vt:lpstr>
      <vt:lpstr>Budget</vt:lpstr>
      <vt:lpstr>Variance_Analysis</vt:lpstr>
      <vt:lpstr>Restaurant_Drilldown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Marco Ortiz</cp:lastModifiedBy>
  <cp:revision>0</cp:revision>
  <dcterms:created xsi:type="dcterms:W3CDTF">2026-09-15T03:06:26Z</dcterms:created>
  <dcterms:modified xsi:type="dcterms:W3CDTF">2026-09-15T22:49:20Z</dcterms:modified>
  <dc:language>en-US</dc:language>
</cp:coreProperties>
</file>